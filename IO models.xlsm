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charts/chartEx1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7.xml" ContentType="application/vnd.ms-excel.controlproperties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trlProps/ctrlProp18.xml" ContentType="application/vnd.ms-excel.controlproperties+xml"/>
  <Override PartName="/xl/drawings/drawing15.xml" ContentType="application/vnd.openxmlformats-officedocument.drawing+xml"/>
  <Override PartName="/xl/ctrlProps/ctrlProp19.xml" ContentType="application/vnd.ms-excel.controlproperties+xml"/>
  <Override PartName="/xl/drawings/drawing1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trlProps/ctrlProp24.xml" ContentType="application/vnd.ms-excel.controlproperties+xml"/>
  <Override PartName="/xl/drawings/drawing19.xml" ContentType="application/vnd.openxmlformats-officedocument.drawing+xml"/>
  <Override PartName="/xl/ctrlProps/ctrlProp25.xml" ContentType="application/vnd.ms-excel.controlproperties+xml"/>
  <Override PartName="/xl/drawings/drawing20.xml" ContentType="application/vnd.openxmlformats-officedocument.drawing+xml"/>
  <Override PartName="/xl/ctrlProps/ctrlProp26.xml" ContentType="application/vnd.ms-excel.controlproperties+xml"/>
  <Override PartName="/xl/drawings/drawing2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2.xml" ContentType="application/vnd.openxmlformats-officedocument.drawing+xml"/>
  <Override PartName="/xl/ctrlProps/ctrlProp29.xml" ContentType="application/vnd.ms-excel.controlproperties+xml"/>
  <Override PartName="/xl/drawings/drawing23.xml" ContentType="application/vnd.openxmlformats-officedocument.drawing+xml"/>
  <Override PartName="/xl/ctrlProps/ctrlProp30.xml" ContentType="application/vnd.ms-excel.controlpropertie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Org industrial\"/>
    </mc:Choice>
  </mc:AlternateContent>
  <xr:revisionPtr revIDLastSave="0" documentId="13_ncr:1_{9F9A15F4-210B-45DC-9727-853C3794F3BE}" xr6:coauthVersionLast="47" xr6:coauthVersionMax="47" xr10:uidLastSave="{00000000-0000-0000-0000-000000000000}"/>
  <bookViews>
    <workbookView xWindow="-120" yWindow="-120" windowWidth="20730" windowHeight="11160" tabRatio="867" xr2:uid="{7DC2976A-6C05-49B2-9541-9E1FAC1B691A}"/>
  </bookViews>
  <sheets>
    <sheet name="Inicio" sheetId="15" r:id="rId1"/>
    <sheet name="Lineales" sheetId="4" r:id="rId2"/>
    <sheet name="No lineales" sheetId="5" r:id="rId3"/>
    <sheet name="Sensibilidad" sheetId="6" r:id="rId4"/>
    <sheet name="Fusiones" sheetId="29" r:id="rId5"/>
    <sheet name="Cournot" sheetId="10" r:id="rId6"/>
    <sheet name="Bertand" sheetId="28" r:id="rId7"/>
    <sheet name="Efectos" sheetId="30" r:id="rId8"/>
    <sheet name="Discriminacion" sheetId="11" r:id="rId9"/>
    <sheet name="Riesgo" sheetId="12" r:id="rId10"/>
    <sheet name="Multiproducto" sheetId="16" r:id="rId11"/>
    <sheet name="Diferenciacion" sheetId="23" r:id="rId12"/>
    <sheet name="Horizontal" sheetId="21" r:id="rId13"/>
    <sheet name="Vertical" sheetId="22" r:id="rId14"/>
    <sheet name="Plataformas" sheetId="19" r:id="rId15"/>
    <sheet name="Innovacion" sheetId="24" r:id="rId16"/>
    <sheet name="Rel. Vert." sheetId="35" r:id="rId17"/>
    <sheet name="Franquicia" sheetId="25" r:id="rId18"/>
    <sheet name="Integracion" sheetId="34" r:id="rId19"/>
    <sheet name="Exclusividad" sheetId="26" r:id="rId20"/>
    <sheet name="Subastas" sheetId="27" r:id="rId21"/>
    <sheet name="Colusion" sheetId="36" r:id="rId22"/>
    <sheet name="Barreras" sheetId="32" r:id="rId23"/>
    <sheet name="Limites" sheetId="33" r:id="rId24"/>
    <sheet name="Auxiliar" sheetId="14" state="hidden" r:id="rId25"/>
  </sheets>
  <functionGroups builtInGroupCount="19"/>
  <definedNames>
    <definedName name="_xlchart.v1.0" hidden="1">Riesgo!$J$1</definedName>
    <definedName name="_xlchart.v1.1" hidden="1">Riesgo!$J$3:$J$5003</definedName>
    <definedName name="solver_adj" localSheetId="22" hidden="1">Barreras!$C$18</definedName>
    <definedName name="solver_adj" localSheetId="6" hidden="1">Bertand!$K$16</definedName>
    <definedName name="solver_adj" localSheetId="5" hidden="1">Cournot!$L$17:$L$18</definedName>
    <definedName name="solver_adj" localSheetId="8" hidden="1">Discriminacion!$T$21,Discriminacion!$T$24</definedName>
    <definedName name="solver_adj" localSheetId="7" hidden="1">Efectos!$C$14</definedName>
    <definedName name="solver_adj" localSheetId="19" hidden="1">Exclusividad!$J$5:$J$6</definedName>
    <definedName name="solver_adj" localSheetId="17" hidden="1">Franquicia!$E$15:$E$16</definedName>
    <definedName name="solver_adj" localSheetId="12" hidden="1">Horizontal!$D$14</definedName>
    <definedName name="solver_adj" localSheetId="15" hidden="1">Innovacion!$C$11</definedName>
    <definedName name="solver_adj" localSheetId="18" hidden="1">Integracion!$E$9</definedName>
    <definedName name="solver_adj" localSheetId="1" hidden="1">Lineales!$AK$18</definedName>
    <definedName name="solver_adj" localSheetId="10" hidden="1">Multiproducto!$E$16:$E$17</definedName>
    <definedName name="solver_adj" localSheetId="2" hidden="1">'No lineales'!$AK$19</definedName>
    <definedName name="solver_adj" localSheetId="14" hidden="1">Plataformas!$L$15:$M$15</definedName>
    <definedName name="solver_adj" localSheetId="9" hidden="1">Riesgo!$E$12</definedName>
    <definedName name="solver_adj" localSheetId="3" hidden="1">Sensibilidad!$E$11</definedName>
    <definedName name="solver_adj" localSheetId="20" hidden="1">Subastas!$K$6</definedName>
    <definedName name="solver_adj" localSheetId="13" hidden="1">Vertical!$C$13:$D$13</definedName>
    <definedName name="solver_cvg" localSheetId="2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6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5" hidden="1">"""0,0001"""</definedName>
    <definedName name="solver_cvg" localSheetId="8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9" hidden="1">"""""""""""""""0,0001"""""""""""""""</definedName>
    <definedName name="solver_cvg" localSheetId="17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5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8" hidden="1">"""""""""""""""0,0001"""""""""""""""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4" hidden="1">"""""""""""""""""""""""""""""""""""""""""""""""""""""""""""""""0,0001"""""""""""""""""""""""""""""""""""""""""""""""""""""""""""""""</definedName>
    <definedName name="solver_cvg" localSheetId="9" hidden="1">"""""""""""""""""""""""""""""""0,0001"""""""""""""""""""""""""""""""</definedName>
    <definedName name="solver_cvg" localSheetId="3" hidden="1">"""""""0,0001"""""""</definedName>
    <definedName name="solver_cvg" localSheetId="20" hidden="1">"""""""0,0001"""""""</definedName>
    <definedName name="solver_cvg" localSheetId="13" hidden="1">"""""""""""""""0,0001"""""""""""""""</definedName>
    <definedName name="solver_drv" localSheetId="22" hidden="1">1</definedName>
    <definedName name="solver_drv" localSheetId="6" hidden="1">1</definedName>
    <definedName name="solver_drv" localSheetId="5" hidden="1">1</definedName>
    <definedName name="solver_drv" localSheetId="8" hidden="1">1</definedName>
    <definedName name="solver_drv" localSheetId="19" hidden="1">1</definedName>
    <definedName name="solver_drv" localSheetId="17" hidden="1">1</definedName>
    <definedName name="solver_drv" localSheetId="12" hidden="1">1</definedName>
    <definedName name="solver_drv" localSheetId="15" hidden="1">2</definedName>
    <definedName name="solver_drv" localSheetId="18" hidden="1">1</definedName>
    <definedName name="solver_drv" localSheetId="1" hidden="1">1</definedName>
    <definedName name="solver_drv" localSheetId="10" hidden="1">1</definedName>
    <definedName name="solver_drv" localSheetId="2" hidden="1">1</definedName>
    <definedName name="solver_drv" localSheetId="14" hidden="1">1</definedName>
    <definedName name="solver_drv" localSheetId="9" hidden="1">1</definedName>
    <definedName name="solver_drv" localSheetId="3" hidden="1">2</definedName>
    <definedName name="solver_drv" localSheetId="20" hidden="1">1</definedName>
    <definedName name="solver_drv" localSheetId="13" hidden="1">1</definedName>
    <definedName name="solver_eng" localSheetId="22" hidden="1">1</definedName>
    <definedName name="solver_eng" localSheetId="6" hidden="1">1</definedName>
    <definedName name="solver_eng" localSheetId="5" hidden="1">1</definedName>
    <definedName name="solver_eng" localSheetId="8" hidden="1">1</definedName>
    <definedName name="solver_eng" localSheetId="7" hidden="1">1</definedName>
    <definedName name="solver_eng" localSheetId="19" hidden="1">1</definedName>
    <definedName name="solver_eng" localSheetId="17" hidden="1">1</definedName>
    <definedName name="solver_eng" localSheetId="12" hidden="1">1</definedName>
    <definedName name="solver_eng" localSheetId="15" hidden="1">1</definedName>
    <definedName name="solver_eng" localSheetId="18" hidden="1">1</definedName>
    <definedName name="solver_eng" localSheetId="1" hidden="1">1</definedName>
    <definedName name="solver_eng" localSheetId="10" hidden="1">1</definedName>
    <definedName name="solver_eng" localSheetId="2" hidden="1">1</definedName>
    <definedName name="solver_eng" localSheetId="14" hidden="1">1</definedName>
    <definedName name="solver_eng" localSheetId="9" hidden="1">1</definedName>
    <definedName name="solver_eng" localSheetId="3" hidden="1">1</definedName>
    <definedName name="solver_eng" localSheetId="20" hidden="1">1</definedName>
    <definedName name="solver_eng" localSheetId="13" hidden="1">1</definedName>
    <definedName name="solver_est" localSheetId="22" hidden="1">1</definedName>
    <definedName name="solver_est" localSheetId="6" hidden="1">1</definedName>
    <definedName name="solver_est" localSheetId="5" hidden="1">1</definedName>
    <definedName name="solver_est" localSheetId="8" hidden="1">1</definedName>
    <definedName name="solver_est" localSheetId="19" hidden="1">1</definedName>
    <definedName name="solver_est" localSheetId="17" hidden="1">1</definedName>
    <definedName name="solver_est" localSheetId="12" hidden="1">1</definedName>
    <definedName name="solver_est" localSheetId="15" hidden="1">1</definedName>
    <definedName name="solver_est" localSheetId="18" hidden="1">1</definedName>
    <definedName name="solver_est" localSheetId="1" hidden="1">1</definedName>
    <definedName name="solver_est" localSheetId="10" hidden="1">1</definedName>
    <definedName name="solver_est" localSheetId="2" hidden="1">1</definedName>
    <definedName name="solver_est" localSheetId="14" hidden="1">1</definedName>
    <definedName name="solver_est" localSheetId="9" hidden="1">1</definedName>
    <definedName name="solver_est" localSheetId="3" hidden="1">1</definedName>
    <definedName name="solver_est" localSheetId="20" hidden="1">1</definedName>
    <definedName name="solver_est" localSheetId="13" hidden="1">1</definedName>
    <definedName name="solver_itr" localSheetId="22" hidden="1">2147483647</definedName>
    <definedName name="solver_itr" localSheetId="6" hidden="1">2147483647</definedName>
    <definedName name="solver_itr" localSheetId="5" hidden="1">2147483647</definedName>
    <definedName name="solver_itr" localSheetId="8" hidden="1">2147483647</definedName>
    <definedName name="solver_itr" localSheetId="19" hidden="1">2147483647</definedName>
    <definedName name="solver_itr" localSheetId="17" hidden="1">2147483647</definedName>
    <definedName name="solver_itr" localSheetId="12" hidden="1">2147483647</definedName>
    <definedName name="solver_itr" localSheetId="15" hidden="1">2147483647</definedName>
    <definedName name="solver_itr" localSheetId="18" hidden="1">2147483647</definedName>
    <definedName name="solver_itr" localSheetId="1" hidden="1">2147483647</definedName>
    <definedName name="solver_itr" localSheetId="10" hidden="1">2147483647</definedName>
    <definedName name="solver_itr" localSheetId="2" hidden="1">2147483647</definedName>
    <definedName name="solver_itr" localSheetId="14" hidden="1">2147483647</definedName>
    <definedName name="solver_itr" localSheetId="9" hidden="1">2147483647</definedName>
    <definedName name="solver_itr" localSheetId="3" hidden="1">2147483647</definedName>
    <definedName name="solver_itr" localSheetId="20" hidden="1">2147483647</definedName>
    <definedName name="solver_itr" localSheetId="13" hidden="1">2147483647</definedName>
    <definedName name="solver_lhs1" localSheetId="22" hidden="1">Barreras!$D$22</definedName>
    <definedName name="solver_lhs1" localSheetId="6" hidden="1">Bertand!$K$16</definedName>
    <definedName name="solver_lhs1" localSheetId="5" hidden="1">Cournot!$L$17:$L$18</definedName>
    <definedName name="solver_lhs1" localSheetId="8" hidden="1">Discriminacion!$T$21</definedName>
    <definedName name="solver_lhs1" localSheetId="7" hidden="1">Efectos!$C$14</definedName>
    <definedName name="solver_lhs1" localSheetId="19" hidden="1">Exclusividad!$J$15</definedName>
    <definedName name="solver_lhs1" localSheetId="17" hidden="1">Franquicia!$E$15</definedName>
    <definedName name="solver_lhs1" localSheetId="12" hidden="1">Horizontal!$D$12</definedName>
    <definedName name="solver_lhs1" localSheetId="15" hidden="1">Innovacion!$D$10</definedName>
    <definedName name="solver_lhs1" localSheetId="10" hidden="1">Multiproducto!$E$16</definedName>
    <definedName name="solver_lhs1" localSheetId="2" hidden="1">'No lineales'!$AK$19</definedName>
    <definedName name="solver_lhs1" localSheetId="14" hidden="1">Plataformas!$L$15:$M$15</definedName>
    <definedName name="solver_lhs1" localSheetId="9" hidden="1">Riesgo!$E$12</definedName>
    <definedName name="solver_lhs1" localSheetId="3" hidden="1">Sensibilidad!$E$11</definedName>
    <definedName name="solver_lhs1" localSheetId="13" hidden="1">Vertical!$C$13</definedName>
    <definedName name="solver_lhs2" localSheetId="6" hidden="1">Bertand!$K$14</definedName>
    <definedName name="solver_lhs2" localSheetId="5" hidden="1">Cournot!$L$18</definedName>
    <definedName name="solver_lhs2" localSheetId="8" hidden="1">Discriminacion!$T$24</definedName>
    <definedName name="solver_lhs2" localSheetId="17" hidden="1">Franquicia!$E$10</definedName>
    <definedName name="solver_lhs2" localSheetId="12" hidden="1">Horizontal!$D$13</definedName>
    <definedName name="solver_lhs2" localSheetId="15" hidden="1">Innovacion!$D$10</definedName>
    <definedName name="solver_lhs2" localSheetId="10" hidden="1">Multiproducto!$E$17</definedName>
    <definedName name="solver_lhs2" localSheetId="2" hidden="1">'No lineales'!$Q$19</definedName>
    <definedName name="solver_lhs2" localSheetId="13" hidden="1">Vertical!$D$13</definedName>
    <definedName name="solver_lhs3" localSheetId="5" hidden="1">Cournot!$L$18</definedName>
    <definedName name="solver_lhs3" localSheetId="8" hidden="1">Discriminacion!$T$24</definedName>
    <definedName name="solver_lhs3" localSheetId="12" hidden="1">Horizontal!$D$14</definedName>
    <definedName name="solver_lhs3" localSheetId="13" hidden="1">Vertical!$C$13</definedName>
    <definedName name="solver_lhs4" localSheetId="5" hidden="1">Cournot!$L$18</definedName>
    <definedName name="solver_lhs4" localSheetId="12" hidden="1">Horizontal!$B$12:$C$12</definedName>
    <definedName name="solver_lhs5" localSheetId="5" hidden="1">Cournot!$L$18</definedName>
    <definedName name="solver_lhs5" localSheetId="12" hidden="1">Horizontal!$B$12:$C$12</definedName>
    <definedName name="solver_lhs6" localSheetId="5" hidden="1">Cournot!$L$18</definedName>
    <definedName name="solver_lhs7" localSheetId="5" hidden="1">Cournot!$L$17</definedName>
    <definedName name="solver_lhs8" localSheetId="5" hidden="1">Cournot!$L$18</definedName>
    <definedName name="solver_mip" localSheetId="22" hidden="1">2147483647</definedName>
    <definedName name="solver_mip" localSheetId="6" hidden="1">2147483647</definedName>
    <definedName name="solver_mip" localSheetId="5" hidden="1">2147483647</definedName>
    <definedName name="solver_mip" localSheetId="8" hidden="1">2147483647</definedName>
    <definedName name="solver_mip" localSheetId="19" hidden="1">2147483647</definedName>
    <definedName name="solver_mip" localSheetId="17" hidden="1">2147483647</definedName>
    <definedName name="solver_mip" localSheetId="12" hidden="1">2147483647</definedName>
    <definedName name="solver_mip" localSheetId="15" hidden="1">2147483647</definedName>
    <definedName name="solver_mip" localSheetId="18" hidden="1">2147483647</definedName>
    <definedName name="solver_mip" localSheetId="1" hidden="1">2147483647</definedName>
    <definedName name="solver_mip" localSheetId="10" hidden="1">2147483647</definedName>
    <definedName name="solver_mip" localSheetId="2" hidden="1">2147483647</definedName>
    <definedName name="solver_mip" localSheetId="14" hidden="1">2147483647</definedName>
    <definedName name="solver_mip" localSheetId="9" hidden="1">2147483647</definedName>
    <definedName name="solver_mip" localSheetId="3" hidden="1">2147483647</definedName>
    <definedName name="solver_mip" localSheetId="20" hidden="1">2147483647</definedName>
    <definedName name="solver_mip" localSheetId="13" hidden="1">2147483647</definedName>
    <definedName name="solver_mni" localSheetId="22" hidden="1">30</definedName>
    <definedName name="solver_mni" localSheetId="6" hidden="1">30</definedName>
    <definedName name="solver_mni" localSheetId="5" hidden="1">30</definedName>
    <definedName name="solver_mni" localSheetId="8" hidden="1">30</definedName>
    <definedName name="solver_mni" localSheetId="19" hidden="1">30</definedName>
    <definedName name="solver_mni" localSheetId="17" hidden="1">30</definedName>
    <definedName name="solver_mni" localSheetId="12" hidden="1">30</definedName>
    <definedName name="solver_mni" localSheetId="15" hidden="1">30</definedName>
    <definedName name="solver_mni" localSheetId="18" hidden="1">30</definedName>
    <definedName name="solver_mni" localSheetId="1" hidden="1">30</definedName>
    <definedName name="solver_mni" localSheetId="10" hidden="1">30</definedName>
    <definedName name="solver_mni" localSheetId="2" hidden="1">30</definedName>
    <definedName name="solver_mni" localSheetId="14" hidden="1">30</definedName>
    <definedName name="solver_mni" localSheetId="9" hidden="1">30</definedName>
    <definedName name="solver_mni" localSheetId="3" hidden="1">30</definedName>
    <definedName name="solver_mni" localSheetId="20" hidden="1">30</definedName>
    <definedName name="solver_mni" localSheetId="13" hidden="1">30</definedName>
    <definedName name="solver_mrt" localSheetId="2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6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5" hidden="1">"""0,075"""</definedName>
    <definedName name="solver_mrt" localSheetId="8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9" hidden="1">"""""""""""""""0,075"""""""""""""""</definedName>
    <definedName name="solver_mrt" localSheetId="17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5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8" hidden="1">"""""""""""""""0,075"""""""""""""""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4" hidden="1">"""""""""""""""""""""""""""""""""""""""""""""""""""""""""""""""0,075"""""""""""""""""""""""""""""""""""""""""""""""""""""""""""""""</definedName>
    <definedName name="solver_mrt" localSheetId="9" hidden="1">"""""""""""""""""""""""""""""""0,075"""""""""""""""""""""""""""""""</definedName>
    <definedName name="solver_mrt" localSheetId="3" hidden="1">"""""""0,075"""""""</definedName>
    <definedName name="solver_mrt" localSheetId="20" hidden="1">"""""""0,075"""""""</definedName>
    <definedName name="solver_mrt" localSheetId="13" hidden="1">"""""""""""""""0,075"""""""""""""""</definedName>
    <definedName name="solver_msl" localSheetId="22" hidden="1">2</definedName>
    <definedName name="solver_msl" localSheetId="6" hidden="1">2</definedName>
    <definedName name="solver_msl" localSheetId="5" hidden="1">2</definedName>
    <definedName name="solver_msl" localSheetId="8" hidden="1">2</definedName>
    <definedName name="solver_msl" localSheetId="19" hidden="1">2</definedName>
    <definedName name="solver_msl" localSheetId="17" hidden="1">2</definedName>
    <definedName name="solver_msl" localSheetId="12" hidden="1">2</definedName>
    <definedName name="solver_msl" localSheetId="15" hidden="1">2</definedName>
    <definedName name="solver_msl" localSheetId="18" hidden="1">2</definedName>
    <definedName name="solver_msl" localSheetId="1" hidden="1">2</definedName>
    <definedName name="solver_msl" localSheetId="10" hidden="1">2</definedName>
    <definedName name="solver_msl" localSheetId="2" hidden="1">2</definedName>
    <definedName name="solver_msl" localSheetId="14" hidden="1">2</definedName>
    <definedName name="solver_msl" localSheetId="9" hidden="1">2</definedName>
    <definedName name="solver_msl" localSheetId="3" hidden="1">2</definedName>
    <definedName name="solver_msl" localSheetId="20" hidden="1">2</definedName>
    <definedName name="solver_msl" localSheetId="13" hidden="1">2</definedName>
    <definedName name="solver_neg" localSheetId="22" hidden="1">1</definedName>
    <definedName name="solver_neg" localSheetId="6" hidden="1">1</definedName>
    <definedName name="solver_neg" localSheetId="5" hidden="1">2</definedName>
    <definedName name="solver_neg" localSheetId="8" hidden="1">1</definedName>
    <definedName name="solver_neg" localSheetId="7" hidden="1">1</definedName>
    <definedName name="solver_neg" localSheetId="19" hidden="1">1</definedName>
    <definedName name="solver_neg" localSheetId="17" hidden="1">1</definedName>
    <definedName name="solver_neg" localSheetId="12" hidden="1">1</definedName>
    <definedName name="solver_neg" localSheetId="15" hidden="1">1</definedName>
    <definedName name="solver_neg" localSheetId="18" hidden="1">1</definedName>
    <definedName name="solver_neg" localSheetId="1" hidden="1">1</definedName>
    <definedName name="solver_neg" localSheetId="10" hidden="1">1</definedName>
    <definedName name="solver_neg" localSheetId="2" hidden="1">1</definedName>
    <definedName name="solver_neg" localSheetId="14" hidden="1">1</definedName>
    <definedName name="solver_neg" localSheetId="9" hidden="1">1</definedName>
    <definedName name="solver_neg" localSheetId="3" hidden="1">1</definedName>
    <definedName name="solver_neg" localSheetId="20" hidden="1">1</definedName>
    <definedName name="solver_neg" localSheetId="13" hidden="1">1</definedName>
    <definedName name="solver_nod" localSheetId="22" hidden="1">2147483647</definedName>
    <definedName name="solver_nod" localSheetId="6" hidden="1">2147483647</definedName>
    <definedName name="solver_nod" localSheetId="5" hidden="1">2147483647</definedName>
    <definedName name="solver_nod" localSheetId="8" hidden="1">2147483647</definedName>
    <definedName name="solver_nod" localSheetId="19" hidden="1">2147483647</definedName>
    <definedName name="solver_nod" localSheetId="17" hidden="1">2147483647</definedName>
    <definedName name="solver_nod" localSheetId="12" hidden="1">2147483647</definedName>
    <definedName name="solver_nod" localSheetId="15" hidden="1">2147483647</definedName>
    <definedName name="solver_nod" localSheetId="18" hidden="1">2147483647</definedName>
    <definedName name="solver_nod" localSheetId="1" hidden="1">2147483647</definedName>
    <definedName name="solver_nod" localSheetId="10" hidden="1">2147483647</definedName>
    <definedName name="solver_nod" localSheetId="2" hidden="1">2147483647</definedName>
    <definedName name="solver_nod" localSheetId="14" hidden="1">2147483647</definedName>
    <definedName name="solver_nod" localSheetId="9" hidden="1">2147483647</definedName>
    <definedName name="solver_nod" localSheetId="3" hidden="1">2147483647</definedName>
    <definedName name="solver_nod" localSheetId="20" hidden="1">2147483647</definedName>
    <definedName name="solver_nod" localSheetId="13" hidden="1">2147483647</definedName>
    <definedName name="solver_num" localSheetId="22" hidden="1">1</definedName>
    <definedName name="solver_num" localSheetId="6" hidden="1">1</definedName>
    <definedName name="solver_num" localSheetId="5" hidden="1">0</definedName>
    <definedName name="solver_num" localSheetId="8" hidden="1">2</definedName>
    <definedName name="solver_num" localSheetId="7" hidden="1">1</definedName>
    <definedName name="solver_num" localSheetId="19" hidden="1">1</definedName>
    <definedName name="solver_num" localSheetId="17" hidden="1">2</definedName>
    <definedName name="solver_num" localSheetId="12" hidden="1">3</definedName>
    <definedName name="solver_num" localSheetId="15" hidden="1">0</definedName>
    <definedName name="solver_num" localSheetId="18" hidden="1">0</definedName>
    <definedName name="solver_num" localSheetId="1" hidden="1">0</definedName>
    <definedName name="solver_num" localSheetId="10" hidden="1">0</definedName>
    <definedName name="solver_num" localSheetId="2" hidden="1">0</definedName>
    <definedName name="solver_num" localSheetId="14" hidden="1">1</definedName>
    <definedName name="solver_num" localSheetId="9" hidden="1">1</definedName>
    <definedName name="solver_num" localSheetId="3" hidden="1">0</definedName>
    <definedName name="solver_num" localSheetId="20" hidden="1">0</definedName>
    <definedName name="solver_num" localSheetId="13" hidden="1">3</definedName>
    <definedName name="solver_nwt" localSheetId="22" hidden="1">1</definedName>
    <definedName name="solver_nwt" localSheetId="6" hidden="1">1</definedName>
    <definedName name="solver_nwt" localSheetId="5" hidden="1">1</definedName>
    <definedName name="solver_nwt" localSheetId="8" hidden="1">1</definedName>
    <definedName name="solver_nwt" localSheetId="19" hidden="1">1</definedName>
    <definedName name="solver_nwt" localSheetId="17" hidden="1">1</definedName>
    <definedName name="solver_nwt" localSheetId="12" hidden="1">1</definedName>
    <definedName name="solver_nwt" localSheetId="15" hidden="1">1</definedName>
    <definedName name="solver_nwt" localSheetId="18" hidden="1">1</definedName>
    <definedName name="solver_nwt" localSheetId="1" hidden="1">1</definedName>
    <definedName name="solver_nwt" localSheetId="10" hidden="1">1</definedName>
    <definedName name="solver_nwt" localSheetId="2" hidden="1">1</definedName>
    <definedName name="solver_nwt" localSheetId="14" hidden="1">1</definedName>
    <definedName name="solver_nwt" localSheetId="9" hidden="1">1</definedName>
    <definedName name="solver_nwt" localSheetId="3" hidden="1">1</definedName>
    <definedName name="solver_nwt" localSheetId="20" hidden="1">1</definedName>
    <definedName name="solver_nwt" localSheetId="13" hidden="1">1</definedName>
    <definedName name="solver_opt" localSheetId="22" hidden="1">Barreras!$D$21</definedName>
    <definedName name="solver_opt" localSheetId="6" hidden="1">Bertand!$N$16</definedName>
    <definedName name="solver_opt" localSheetId="5" hidden="1">Cournot!$J$18</definedName>
    <definedName name="solver_opt" localSheetId="8" hidden="1">Discriminacion!$R$26</definedName>
    <definedName name="solver_opt" localSheetId="7" hidden="1">Efectos!$F$14</definedName>
    <definedName name="solver_opt" localSheetId="19" hidden="1">Exclusividad!$J$16</definedName>
    <definedName name="solver_opt" localSheetId="17" hidden="1">Franquicia!$C$18</definedName>
    <definedName name="solver_opt" localSheetId="12" hidden="1">Horizontal!$J$14</definedName>
    <definedName name="solver_opt" localSheetId="15" hidden="1">Innovacion!$C$15</definedName>
    <definedName name="solver_opt" localSheetId="18" hidden="1">Integracion!$C$10</definedName>
    <definedName name="solver_opt" localSheetId="1" hidden="1">Lineales!$AI$22</definedName>
    <definedName name="solver_opt" localSheetId="10" hidden="1">Multiproducto!$K$18</definedName>
    <definedName name="solver_opt" localSheetId="2" hidden="1">'No lineales'!$AI$23</definedName>
    <definedName name="solver_opt" localSheetId="14" hidden="1">Plataformas!$L$18</definedName>
    <definedName name="solver_opt" localSheetId="9" hidden="1">Riesgo!$C$16</definedName>
    <definedName name="solver_opt" localSheetId="3" hidden="1">Sensibilidad!$C$15</definedName>
    <definedName name="solver_opt" localSheetId="20" hidden="1">Subastas!$J$8</definedName>
    <definedName name="solver_opt" localSheetId="13" hidden="1">Vertical!$G$13</definedName>
    <definedName name="solver_pre" localSheetId="2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6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5" hidden="1">"""0,000001"""</definedName>
    <definedName name="solver_pre" localSheetId="8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9" hidden="1">"""""""""""""""0,000001"""""""""""""""</definedName>
    <definedName name="solver_pre" localSheetId="17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5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8" hidden="1">"""""""""""""""0,000001"""""""""""""""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4" hidden="1">"""""""""""""""""""""""""""""""""""""""""""""""""""""""""""""""0,000001"""""""""""""""""""""""""""""""""""""""""""""""""""""""""""""""</definedName>
    <definedName name="solver_pre" localSheetId="9" hidden="1">"""""""""""""""""""""""""""""""0,000001"""""""""""""""""""""""""""""""</definedName>
    <definedName name="solver_pre" localSheetId="3" hidden="1">"""""""0,000001"""""""</definedName>
    <definedName name="solver_pre" localSheetId="20" hidden="1">"""""""0,000001"""""""</definedName>
    <definedName name="solver_pre" localSheetId="13" hidden="1">"""""""""""""""0,000001"""""""""""""""</definedName>
    <definedName name="solver_rbv" localSheetId="22" hidden="1">1</definedName>
    <definedName name="solver_rbv" localSheetId="6" hidden="1">1</definedName>
    <definedName name="solver_rbv" localSheetId="5" hidden="1">1</definedName>
    <definedName name="solver_rbv" localSheetId="8" hidden="1">1</definedName>
    <definedName name="solver_rbv" localSheetId="19" hidden="1">1</definedName>
    <definedName name="solver_rbv" localSheetId="17" hidden="1">1</definedName>
    <definedName name="solver_rbv" localSheetId="12" hidden="1">1</definedName>
    <definedName name="solver_rbv" localSheetId="15" hidden="1">2</definedName>
    <definedName name="solver_rbv" localSheetId="18" hidden="1">1</definedName>
    <definedName name="solver_rbv" localSheetId="1" hidden="1">1</definedName>
    <definedName name="solver_rbv" localSheetId="10" hidden="1">1</definedName>
    <definedName name="solver_rbv" localSheetId="2" hidden="1">1</definedName>
    <definedName name="solver_rbv" localSheetId="14" hidden="1">1</definedName>
    <definedName name="solver_rbv" localSheetId="9" hidden="1">1</definedName>
    <definedName name="solver_rbv" localSheetId="3" hidden="1">2</definedName>
    <definedName name="solver_rbv" localSheetId="20" hidden="1">1</definedName>
    <definedName name="solver_rbv" localSheetId="13" hidden="1">1</definedName>
    <definedName name="solver_rel1" localSheetId="22" hidden="1">1</definedName>
    <definedName name="solver_rel1" localSheetId="6" hidden="1">3</definedName>
    <definedName name="solver_rel1" localSheetId="5" hidden="1">3</definedName>
    <definedName name="solver_rel1" localSheetId="8" hidden="1">3</definedName>
    <definedName name="solver_rel1" localSheetId="7" hidden="1">3</definedName>
    <definedName name="solver_rel1" localSheetId="19" hidden="1">3</definedName>
    <definedName name="solver_rel1" localSheetId="17" hidden="1">3</definedName>
    <definedName name="solver_rel1" localSheetId="12" hidden="1">3</definedName>
    <definedName name="solver_rel1" localSheetId="15" hidden="1">3</definedName>
    <definedName name="solver_rel1" localSheetId="10" hidden="1">3</definedName>
    <definedName name="solver_rel1" localSheetId="2" hidden="1">3</definedName>
    <definedName name="solver_rel1" localSheetId="14" hidden="1">3</definedName>
    <definedName name="solver_rel1" localSheetId="9" hidden="1">3</definedName>
    <definedName name="solver_rel1" localSheetId="3" hidden="1">3</definedName>
    <definedName name="solver_rel1" localSheetId="13" hidden="1">3</definedName>
    <definedName name="solver_rel2" localSheetId="6" hidden="1">3</definedName>
    <definedName name="solver_rel2" localSheetId="5" hidden="1">3</definedName>
    <definedName name="solver_rel2" localSheetId="8" hidden="1">3</definedName>
    <definedName name="solver_rel2" localSheetId="17" hidden="1">3</definedName>
    <definedName name="solver_rel2" localSheetId="12" hidden="1">3</definedName>
    <definedName name="solver_rel2" localSheetId="15" hidden="1">1</definedName>
    <definedName name="solver_rel2" localSheetId="10" hidden="1">3</definedName>
    <definedName name="solver_rel2" localSheetId="2" hidden="1">3</definedName>
    <definedName name="solver_rel2" localSheetId="13" hidden="1">3</definedName>
    <definedName name="solver_rel3" localSheetId="5" hidden="1">3</definedName>
    <definedName name="solver_rel3" localSheetId="8" hidden="1">3</definedName>
    <definedName name="solver_rel3" localSheetId="12" hidden="1">3</definedName>
    <definedName name="solver_rel3" localSheetId="13" hidden="1">3</definedName>
    <definedName name="solver_rel4" localSheetId="5" hidden="1">3</definedName>
    <definedName name="solver_rel4" localSheetId="12" hidden="1">3</definedName>
    <definedName name="solver_rel5" localSheetId="5" hidden="1">3</definedName>
    <definedName name="solver_rel5" localSheetId="12" hidden="1">1</definedName>
    <definedName name="solver_rel6" localSheetId="5" hidden="1">3</definedName>
    <definedName name="solver_rel7" localSheetId="5" hidden="1">3</definedName>
    <definedName name="solver_rel8" localSheetId="5" hidden="1">3</definedName>
    <definedName name="solver_rhs1" localSheetId="22" hidden="1">0</definedName>
    <definedName name="solver_rhs1" localSheetId="6" hidden="1">Bertand!$K$10</definedName>
    <definedName name="solver_rhs1" localSheetId="5" hidden="1">1</definedName>
    <definedName name="solver_rhs1" localSheetId="8" hidden="1">1</definedName>
    <definedName name="solver_rhs1" localSheetId="7" hidden="1">Efectos!$F$7</definedName>
    <definedName name="solver_rhs1" localSheetId="19" hidden="1">Exclusividad!$D$14</definedName>
    <definedName name="solver_rhs1" localSheetId="17" hidden="1">1</definedName>
    <definedName name="solver_rhs1" localSheetId="12" hidden="1">Horizontal!$I$12</definedName>
    <definedName name="solver_rhs1" localSheetId="15" hidden="1">0</definedName>
    <definedName name="solver_rhs1" localSheetId="10" hidden="1">1</definedName>
    <definedName name="solver_rhs1" localSheetId="2" hidden="1">0.01</definedName>
    <definedName name="solver_rhs1" localSheetId="14" hidden="1">1</definedName>
    <definedName name="solver_rhs1" localSheetId="9" hidden="1">1</definedName>
    <definedName name="solver_rhs1" localSheetId="3" hidden="1">0.01</definedName>
    <definedName name="solver_rhs1" localSheetId="13" hidden="1">1</definedName>
    <definedName name="solver_rhs2" localSheetId="6" hidden="1">Bertand!$N$10</definedName>
    <definedName name="solver_rhs2" localSheetId="5" hidden="1">1</definedName>
    <definedName name="solver_rhs2" localSheetId="8" hidden="1">1</definedName>
    <definedName name="solver_rhs2" localSheetId="17" hidden="1">0</definedName>
    <definedName name="solver_rhs2" localSheetId="12" hidden="1">Horizontal!$I$13</definedName>
    <definedName name="solver_rhs2" localSheetId="15" hidden="1">Innovacion!$E$4</definedName>
    <definedName name="solver_rhs2" localSheetId="10" hidden="1">1</definedName>
    <definedName name="solver_rhs2" localSheetId="2" hidden="1">1</definedName>
    <definedName name="solver_rhs2" localSheetId="13" hidden="1">1</definedName>
    <definedName name="solver_rhs3" localSheetId="5" hidden="1">1</definedName>
    <definedName name="solver_rhs3" localSheetId="8" hidden="1">1</definedName>
    <definedName name="solver_rhs3" localSheetId="12" hidden="1">Horizontal!$I$14</definedName>
    <definedName name="solver_rhs3" localSheetId="13" hidden="1">Vertical!$E$13</definedName>
    <definedName name="solver_rhs4" localSheetId="5" hidden="1">1</definedName>
    <definedName name="solver_rhs4" localSheetId="12" hidden="1">0</definedName>
    <definedName name="solver_rhs5" localSheetId="5" hidden="1">1</definedName>
    <definedName name="solver_rhs5" localSheetId="12" hidden="1">10</definedName>
    <definedName name="solver_rhs6" localSheetId="5" hidden="1">1</definedName>
    <definedName name="solver_rhs7" localSheetId="5" hidden="1">1</definedName>
    <definedName name="solver_rhs8" localSheetId="5" hidden="1">1</definedName>
    <definedName name="solver_rlx" localSheetId="22" hidden="1">2</definedName>
    <definedName name="solver_rlx" localSheetId="6" hidden="1">2</definedName>
    <definedName name="solver_rlx" localSheetId="5" hidden="1">2</definedName>
    <definedName name="solver_rlx" localSheetId="8" hidden="1">2</definedName>
    <definedName name="solver_rlx" localSheetId="19" hidden="1">2</definedName>
    <definedName name="solver_rlx" localSheetId="17" hidden="1">2</definedName>
    <definedName name="solver_rlx" localSheetId="12" hidden="1">2</definedName>
    <definedName name="solver_rlx" localSheetId="15" hidden="1">2</definedName>
    <definedName name="solver_rlx" localSheetId="18" hidden="1">2</definedName>
    <definedName name="solver_rlx" localSheetId="1" hidden="1">2</definedName>
    <definedName name="solver_rlx" localSheetId="10" hidden="1">2</definedName>
    <definedName name="solver_rlx" localSheetId="2" hidden="1">2</definedName>
    <definedName name="solver_rlx" localSheetId="14" hidden="1">2</definedName>
    <definedName name="solver_rlx" localSheetId="9" hidden="1">2</definedName>
    <definedName name="solver_rlx" localSheetId="3" hidden="1">2</definedName>
    <definedName name="solver_rlx" localSheetId="20" hidden="1">2</definedName>
    <definedName name="solver_rlx" localSheetId="13" hidden="1">2</definedName>
    <definedName name="solver_rsd" localSheetId="22" hidden="1">0</definedName>
    <definedName name="solver_rsd" localSheetId="6" hidden="1">0</definedName>
    <definedName name="solver_rsd" localSheetId="5" hidden="1">0</definedName>
    <definedName name="solver_rsd" localSheetId="8" hidden="1">0</definedName>
    <definedName name="solver_rsd" localSheetId="19" hidden="1">0</definedName>
    <definedName name="solver_rsd" localSheetId="17" hidden="1">0</definedName>
    <definedName name="solver_rsd" localSheetId="12" hidden="1">0</definedName>
    <definedName name="solver_rsd" localSheetId="15" hidden="1">0</definedName>
    <definedName name="solver_rsd" localSheetId="18" hidden="1">0</definedName>
    <definedName name="solver_rsd" localSheetId="1" hidden="1">0</definedName>
    <definedName name="solver_rsd" localSheetId="10" hidden="1">0</definedName>
    <definedName name="solver_rsd" localSheetId="2" hidden="1">0</definedName>
    <definedName name="solver_rsd" localSheetId="14" hidden="1">0</definedName>
    <definedName name="solver_rsd" localSheetId="9" hidden="1">0</definedName>
    <definedName name="solver_rsd" localSheetId="3" hidden="1">0</definedName>
    <definedName name="solver_rsd" localSheetId="20" hidden="1">0</definedName>
    <definedName name="solver_rsd" localSheetId="13" hidden="1">0</definedName>
    <definedName name="solver_scl" localSheetId="22" hidden="1">1</definedName>
    <definedName name="solver_scl" localSheetId="6" hidden="1">1</definedName>
    <definedName name="solver_scl" localSheetId="5" hidden="1">1</definedName>
    <definedName name="solver_scl" localSheetId="8" hidden="1">1</definedName>
    <definedName name="solver_scl" localSheetId="19" hidden="1">1</definedName>
    <definedName name="solver_scl" localSheetId="17" hidden="1">1</definedName>
    <definedName name="solver_scl" localSheetId="12" hidden="1">1</definedName>
    <definedName name="solver_scl" localSheetId="15" hidden="1">2</definedName>
    <definedName name="solver_scl" localSheetId="18" hidden="1">1</definedName>
    <definedName name="solver_scl" localSheetId="1" hidden="1">1</definedName>
    <definedName name="solver_scl" localSheetId="10" hidden="1">1</definedName>
    <definedName name="solver_scl" localSheetId="2" hidden="1">1</definedName>
    <definedName name="solver_scl" localSheetId="14" hidden="1">1</definedName>
    <definedName name="solver_scl" localSheetId="9" hidden="1">1</definedName>
    <definedName name="solver_scl" localSheetId="3" hidden="1">2</definedName>
    <definedName name="solver_scl" localSheetId="20" hidden="1">1</definedName>
    <definedName name="solver_scl" localSheetId="13" hidden="1">1</definedName>
    <definedName name="solver_sho" localSheetId="22" hidden="1">2</definedName>
    <definedName name="solver_sho" localSheetId="6" hidden="1">2</definedName>
    <definedName name="solver_sho" localSheetId="5" hidden="1">2</definedName>
    <definedName name="solver_sho" localSheetId="8" hidden="1">2</definedName>
    <definedName name="solver_sho" localSheetId="19" hidden="1">2</definedName>
    <definedName name="solver_sho" localSheetId="17" hidden="1">2</definedName>
    <definedName name="solver_sho" localSheetId="12" hidden="1">2</definedName>
    <definedName name="solver_sho" localSheetId="15" hidden="1">2</definedName>
    <definedName name="solver_sho" localSheetId="18" hidden="1">2</definedName>
    <definedName name="solver_sho" localSheetId="1" hidden="1">2</definedName>
    <definedName name="solver_sho" localSheetId="10" hidden="1">2</definedName>
    <definedName name="solver_sho" localSheetId="2" hidden="1">2</definedName>
    <definedName name="solver_sho" localSheetId="14" hidden="1">2</definedName>
    <definedName name="solver_sho" localSheetId="9" hidden="1">2</definedName>
    <definedName name="solver_sho" localSheetId="3" hidden="1">2</definedName>
    <definedName name="solver_sho" localSheetId="20" hidden="1">2</definedName>
    <definedName name="solver_sho" localSheetId="13" hidden="1">2</definedName>
    <definedName name="solver_ssz" localSheetId="22" hidden="1">100</definedName>
    <definedName name="solver_ssz" localSheetId="6" hidden="1">100</definedName>
    <definedName name="solver_ssz" localSheetId="5" hidden="1">100</definedName>
    <definedName name="solver_ssz" localSheetId="8" hidden="1">100</definedName>
    <definedName name="solver_ssz" localSheetId="19" hidden="1">100</definedName>
    <definedName name="solver_ssz" localSheetId="17" hidden="1">100</definedName>
    <definedName name="solver_ssz" localSheetId="12" hidden="1">100</definedName>
    <definedName name="solver_ssz" localSheetId="15" hidden="1">100</definedName>
    <definedName name="solver_ssz" localSheetId="18" hidden="1">100</definedName>
    <definedName name="solver_ssz" localSheetId="1" hidden="1">100</definedName>
    <definedName name="solver_ssz" localSheetId="10" hidden="1">100</definedName>
    <definedName name="solver_ssz" localSheetId="2" hidden="1">100</definedName>
    <definedName name="solver_ssz" localSheetId="14" hidden="1">100</definedName>
    <definedName name="solver_ssz" localSheetId="9" hidden="1">100</definedName>
    <definedName name="solver_ssz" localSheetId="3" hidden="1">100</definedName>
    <definedName name="solver_ssz" localSheetId="20" hidden="1">100</definedName>
    <definedName name="solver_ssz" localSheetId="13" hidden="1">100</definedName>
    <definedName name="solver_tim" localSheetId="22" hidden="1">2147483647</definedName>
    <definedName name="solver_tim" localSheetId="6" hidden="1">2147483647</definedName>
    <definedName name="solver_tim" localSheetId="5" hidden="1">2147483647</definedName>
    <definedName name="solver_tim" localSheetId="8" hidden="1">2147483647</definedName>
    <definedName name="solver_tim" localSheetId="19" hidden="1">2147483647</definedName>
    <definedName name="solver_tim" localSheetId="17" hidden="1">2147483647</definedName>
    <definedName name="solver_tim" localSheetId="12" hidden="1">2147483647</definedName>
    <definedName name="solver_tim" localSheetId="15" hidden="1">2147483647</definedName>
    <definedName name="solver_tim" localSheetId="18" hidden="1">2147483647</definedName>
    <definedName name="solver_tim" localSheetId="1" hidden="1">2147483647</definedName>
    <definedName name="solver_tim" localSheetId="10" hidden="1">2147483647</definedName>
    <definedName name="solver_tim" localSheetId="2" hidden="1">2147483647</definedName>
    <definedName name="solver_tim" localSheetId="14" hidden="1">2147483647</definedName>
    <definedName name="solver_tim" localSheetId="9" hidden="1">2147483647</definedName>
    <definedName name="solver_tim" localSheetId="3" hidden="1">2147483647</definedName>
    <definedName name="solver_tim" localSheetId="20" hidden="1">2147483647</definedName>
    <definedName name="solver_tim" localSheetId="13" hidden="1">2147483647</definedName>
    <definedName name="solver_tol" localSheetId="22" hidden="1">1</definedName>
    <definedName name="solver_tol" localSheetId="6" hidden="1">1</definedName>
    <definedName name="solver_tol" localSheetId="5" hidden="1">0</definedName>
    <definedName name="solver_tol" localSheetId="8" hidden="1">0</definedName>
    <definedName name="solver_tol" localSheetId="19" hidden="1">1</definedName>
    <definedName name="solver_tol" localSheetId="17" hidden="1">1</definedName>
    <definedName name="solver_tol" localSheetId="12" hidden="1">1</definedName>
    <definedName name="solver_tol" localSheetId="15" hidden="1">1</definedName>
    <definedName name="solver_tol" localSheetId="18" hidden="1">1</definedName>
    <definedName name="solver_tol" localSheetId="1" hidden="1">1</definedName>
    <definedName name="solver_tol" localSheetId="10" hidden="1">1</definedName>
    <definedName name="solver_tol" localSheetId="2" hidden="1">1</definedName>
    <definedName name="solver_tol" localSheetId="14" hidden="1">1</definedName>
    <definedName name="solver_tol" localSheetId="9" hidden="1">1</definedName>
    <definedName name="solver_tol" localSheetId="3" hidden="1">1</definedName>
    <definedName name="solver_tol" localSheetId="20" hidden="1">1</definedName>
    <definedName name="solver_tol" localSheetId="13" hidden="1">1</definedName>
    <definedName name="solver_typ" localSheetId="22" hidden="1">1</definedName>
    <definedName name="solver_typ" localSheetId="6" hidden="1">1</definedName>
    <definedName name="solver_typ" localSheetId="5" hidden="1">3</definedName>
    <definedName name="solver_typ" localSheetId="8" hidden="1">1</definedName>
    <definedName name="solver_typ" localSheetId="7" hidden="1">1</definedName>
    <definedName name="solver_typ" localSheetId="19" hidden="1">1</definedName>
    <definedName name="solver_typ" localSheetId="17" hidden="1">1</definedName>
    <definedName name="solver_typ" localSheetId="12" hidden="1">1</definedName>
    <definedName name="solver_typ" localSheetId="15" hidden="1">1</definedName>
    <definedName name="solver_typ" localSheetId="18" hidden="1">1</definedName>
    <definedName name="solver_typ" localSheetId="1" hidden="1">3</definedName>
    <definedName name="solver_typ" localSheetId="10" hidden="1">1</definedName>
    <definedName name="solver_typ" localSheetId="2" hidden="1">3</definedName>
    <definedName name="solver_typ" localSheetId="14" hidden="1">1</definedName>
    <definedName name="solver_typ" localSheetId="9" hidden="1">3</definedName>
    <definedName name="solver_typ" localSheetId="3" hidden="1">3</definedName>
    <definedName name="solver_typ" localSheetId="20" hidden="1">1</definedName>
    <definedName name="solver_typ" localSheetId="13" hidden="1">1</definedName>
    <definedName name="solver_val" localSheetId="22" hidden="1">0</definedName>
    <definedName name="solver_val" localSheetId="6" hidden="1">0</definedName>
    <definedName name="solver_val" localSheetId="5" hidden="1">0</definedName>
    <definedName name="solver_val" localSheetId="8" hidden="1">0</definedName>
    <definedName name="solver_val" localSheetId="7" hidden="1">0</definedName>
    <definedName name="solver_val" localSheetId="19" hidden="1">0</definedName>
    <definedName name="solver_val" localSheetId="17" hidden="1">0</definedName>
    <definedName name="solver_val" localSheetId="12" hidden="1">0</definedName>
    <definedName name="solver_val" localSheetId="15" hidden="1">0</definedName>
    <definedName name="solver_val" localSheetId="18" hidden="1">0</definedName>
    <definedName name="solver_val" localSheetId="1" hidden="1">0</definedName>
    <definedName name="solver_val" localSheetId="10" hidden="1">0</definedName>
    <definedName name="solver_val" localSheetId="2" hidden="1">0</definedName>
    <definedName name="solver_val" localSheetId="14" hidden="1">0</definedName>
    <definedName name="solver_val" localSheetId="9" hidden="1">0</definedName>
    <definedName name="solver_val" localSheetId="3" hidden="1">0</definedName>
    <definedName name="solver_val" localSheetId="20" hidden="1">0</definedName>
    <definedName name="solver_val" localSheetId="13" hidden="1">0</definedName>
    <definedName name="solver_ver" localSheetId="22" hidden="1">3</definedName>
    <definedName name="solver_ver" localSheetId="6" hidden="1">3</definedName>
    <definedName name="solver_ver" localSheetId="5" hidden="1">3</definedName>
    <definedName name="solver_ver" localSheetId="8" hidden="1">3</definedName>
    <definedName name="solver_ver" localSheetId="7" hidden="1">3</definedName>
    <definedName name="solver_ver" localSheetId="19" hidden="1">3</definedName>
    <definedName name="solver_ver" localSheetId="17" hidden="1">3</definedName>
    <definedName name="solver_ver" localSheetId="12" hidden="1">3</definedName>
    <definedName name="solver_ver" localSheetId="15" hidden="1">3</definedName>
    <definedName name="solver_ver" localSheetId="18" hidden="1">3</definedName>
    <definedName name="solver_ver" localSheetId="1" hidden="1">3</definedName>
    <definedName name="solver_ver" localSheetId="10" hidden="1">3</definedName>
    <definedName name="solver_ver" localSheetId="2" hidden="1">3</definedName>
    <definedName name="solver_ver" localSheetId="14" hidden="1">3</definedName>
    <definedName name="solver_ver" localSheetId="9" hidden="1">3</definedName>
    <definedName name="solver_ver" localSheetId="3" hidden="1">3</definedName>
    <definedName name="solver_ver" localSheetId="20" hidden="1">3</definedName>
    <definedName name="solver_ver" localSheetId="13" hidden="1">3</definedName>
  </definedNames>
  <calcPr calcId="18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33" l="1"/>
  <c r="C22" i="33"/>
  <c r="C23" i="33" s="1"/>
  <c r="C17" i="33"/>
  <c r="C16" i="33"/>
  <c r="C18" i="33" s="1"/>
  <c r="C11" i="33"/>
  <c r="C12" i="33" s="1"/>
  <c r="L27" i="32"/>
  <c r="K27" i="32"/>
  <c r="L14" i="32"/>
  <c r="L12" i="32"/>
  <c r="L11" i="32"/>
  <c r="L13" i="32"/>
  <c r="D24" i="32"/>
  <c r="C19" i="32"/>
  <c r="M23" i="32" l="1"/>
  <c r="K23" i="32"/>
  <c r="M24" i="32" s="1"/>
  <c r="M19" i="32"/>
  <c r="K19" i="32"/>
  <c r="M20" i="32" l="1"/>
  <c r="C11" i="32" l="1"/>
  <c r="E10" i="32"/>
  <c r="E11" i="32" s="1"/>
  <c r="D14" i="32" s="1"/>
  <c r="D13" i="32"/>
  <c r="C27" i="32" s="1"/>
  <c r="J40" i="36"/>
  <c r="L40" i="36"/>
  <c r="K42" i="36"/>
  <c r="J30" i="36"/>
  <c r="J34" i="36" s="1"/>
  <c r="L29" i="36"/>
  <c r="L33" i="36" s="1"/>
  <c r="J29" i="36"/>
  <c r="J33" i="36" s="1"/>
  <c r="J11" i="36"/>
  <c r="J15" i="36" s="1"/>
  <c r="L10" i="36"/>
  <c r="L14" i="36" s="1"/>
  <c r="J10" i="36"/>
  <c r="J14" i="36" s="1"/>
  <c r="C23" i="36"/>
  <c r="E22" i="36"/>
  <c r="E23" i="36" s="1"/>
  <c r="C22" i="36"/>
  <c r="C10" i="36"/>
  <c r="E9" i="36"/>
  <c r="E10" i="36" s="1"/>
  <c r="C9" i="36"/>
  <c r="L8" i="27"/>
  <c r="J8" i="27"/>
  <c r="N2" i="26"/>
  <c r="D5" i="26"/>
  <c r="D10" i="26"/>
  <c r="D11" i="26"/>
  <c r="J13" i="26"/>
  <c r="J11" i="26"/>
  <c r="D12" i="26"/>
  <c r="D16" i="26" s="1"/>
  <c r="E10" i="34"/>
  <c r="C14" i="34"/>
  <c r="E14" i="34"/>
  <c r="L9" i="34"/>
  <c r="C8" i="25"/>
  <c r="C9" i="25" s="1"/>
  <c r="C13" i="24"/>
  <c r="C12" i="24"/>
  <c r="D12" i="24"/>
  <c r="D20" i="24"/>
  <c r="D13" i="24"/>
  <c r="C14" i="24"/>
  <c r="D14" i="24"/>
  <c r="D15" i="24" s="1"/>
  <c r="D19" i="30"/>
  <c r="D18" i="30"/>
  <c r="J2" i="30"/>
  <c r="M21" i="19"/>
  <c r="K21" i="19"/>
  <c r="L21" i="19"/>
  <c r="J21" i="19"/>
  <c r="D17" i="19"/>
  <c r="C17" i="19"/>
  <c r="T5" i="28"/>
  <c r="F11" i="28"/>
  <c r="T10" i="28"/>
  <c r="T9" i="28"/>
  <c r="T8" i="28"/>
  <c r="T3" i="28"/>
  <c r="D15" i="30"/>
  <c r="D14" i="30"/>
  <c r="D13" i="30"/>
  <c r="D12" i="30"/>
  <c r="D12" i="28"/>
  <c r="L16" i="28"/>
  <c r="L15" i="28"/>
  <c r="D11" i="28"/>
  <c r="R10" i="10"/>
  <c r="L13" i="28"/>
  <c r="E11" i="28"/>
  <c r="M16" i="28"/>
  <c r="L14" i="28"/>
  <c r="D22" i="10"/>
  <c r="R7" i="10"/>
  <c r="K26" i="10"/>
  <c r="D21" i="10"/>
  <c r="D14" i="28"/>
  <c r="E14" i="28" s="1"/>
  <c r="D13" i="28"/>
  <c r="E13" i="28" s="1"/>
  <c r="E12" i="28"/>
  <c r="F14" i="28"/>
  <c r="F13" i="28"/>
  <c r="F12" i="28"/>
  <c r="K10" i="28"/>
  <c r="D14" i="22"/>
  <c r="N14" i="22"/>
  <c r="O14" i="22"/>
  <c r="O15" i="22"/>
  <c r="N15" i="22"/>
  <c r="F14" i="22"/>
  <c r="F13" i="22"/>
  <c r="P14" i="22"/>
  <c r="E14" i="22"/>
  <c r="E13" i="22"/>
  <c r="I14" i="21"/>
  <c r="I13" i="21"/>
  <c r="I12" i="21"/>
  <c r="E12" i="21"/>
  <c r="E14" i="21"/>
  <c r="E13" i="21"/>
  <c r="G5" i="21"/>
  <c r="K5" i="21"/>
  <c r="F4" i="21"/>
  <c r="I5" i="21"/>
  <c r="J5" i="21"/>
  <c r="F5" i="21"/>
  <c r="E5" i="21"/>
  <c r="K3" i="21"/>
  <c r="K4" i="21"/>
  <c r="G4" i="21"/>
  <c r="J4" i="21"/>
  <c r="I4" i="21"/>
  <c r="F13" i="21" s="1"/>
  <c r="E4" i="21"/>
  <c r="G3" i="21"/>
  <c r="J3" i="21"/>
  <c r="F3" i="21"/>
  <c r="I3" i="21"/>
  <c r="F12" i="21" s="1"/>
  <c r="G12" i="21" s="1"/>
  <c r="E3" i="21"/>
  <c r="E19" i="16"/>
  <c r="D24" i="16"/>
  <c r="D23" i="16"/>
  <c r="D26" i="16"/>
  <c r="D25" i="16"/>
  <c r="M17" i="16"/>
  <c r="M16" i="16"/>
  <c r="E18" i="16"/>
  <c r="C16" i="16" s="1"/>
  <c r="B1" i="16"/>
  <c r="R12" i="11"/>
  <c r="R13" i="11"/>
  <c r="K12" i="11"/>
  <c r="K13" i="11"/>
  <c r="R23" i="11"/>
  <c r="R22" i="11" s="1"/>
  <c r="T22" i="11"/>
  <c r="R21" i="11" s="1"/>
  <c r="T20" i="11" s="1"/>
  <c r="T25" i="11"/>
  <c r="T14" i="11"/>
  <c r="R16" i="11" s="1"/>
  <c r="R4" i="12"/>
  <c r="M4" i="12"/>
  <c r="G3" i="14"/>
  <c r="O5" i="12"/>
  <c r="O4" i="12"/>
  <c r="O3" i="12"/>
  <c r="M5" i="12"/>
  <c r="M6" i="12"/>
  <c r="O6" i="12"/>
  <c r="G4" i="14"/>
  <c r="C12" i="14"/>
  <c r="G7" i="14"/>
  <c r="C14" i="14" s="1"/>
  <c r="C12" i="12"/>
  <c r="C14" i="12"/>
  <c r="C13" i="6"/>
  <c r="C11" i="6"/>
  <c r="E12" i="6" s="1"/>
  <c r="AC21" i="5"/>
  <c r="AC19" i="5"/>
  <c r="AE20" i="5" s="1"/>
  <c r="Y20" i="4"/>
  <c r="AK20" i="4"/>
  <c r="Q20" i="4"/>
  <c r="E20" i="4"/>
  <c r="AC18" i="4"/>
  <c r="AE19" i="4" s="1"/>
  <c r="AC20" i="4"/>
  <c r="O18" i="4"/>
  <c r="AC10" i="4"/>
  <c r="AE11" i="4" s="1"/>
  <c r="AC12" i="4"/>
  <c r="AC11" i="4"/>
  <c r="I12" i="4"/>
  <c r="I20" i="4"/>
  <c r="I18" i="4"/>
  <c r="O11" i="4"/>
  <c r="O10" i="4"/>
  <c r="I10" i="4"/>
  <c r="O20" i="5"/>
  <c r="I21" i="5"/>
  <c r="Q21" i="5"/>
  <c r="AI20" i="5"/>
  <c r="AK21" i="5"/>
  <c r="AI19" i="5"/>
  <c r="AI21" i="5"/>
  <c r="AI23" i="5"/>
  <c r="J32" i="5"/>
  <c r="E21" i="5"/>
  <c r="I19" i="5"/>
  <c r="K20" i="5" s="1"/>
  <c r="K21" i="5" s="1"/>
  <c r="I13" i="5"/>
  <c r="I11" i="5"/>
  <c r="AD32" i="5"/>
  <c r="AC13" i="5"/>
  <c r="AC11" i="5"/>
  <c r="AE12" i="5" s="1"/>
  <c r="M3" i="12"/>
  <c r="C21" i="11"/>
  <c r="K21" i="11"/>
  <c r="K20" i="11"/>
  <c r="M22" i="11" s="1"/>
  <c r="M14" i="11"/>
  <c r="K16" i="11" s="1"/>
  <c r="K15" i="11"/>
  <c r="K22" i="11"/>
  <c r="C12" i="11"/>
  <c r="C13" i="11"/>
  <c r="C15" i="11" s="1"/>
  <c r="E14" i="11"/>
  <c r="C16" i="11" s="1"/>
  <c r="C20" i="11"/>
  <c r="E22" i="11"/>
  <c r="L13" i="10"/>
  <c r="J14" i="10"/>
  <c r="J8" i="10"/>
  <c r="J7" i="10"/>
  <c r="L7" i="10"/>
  <c r="K23" i="10"/>
  <c r="C12" i="10"/>
  <c r="C10" i="10"/>
  <c r="D18" i="10"/>
  <c r="X32" i="5"/>
  <c r="AJ32" i="5"/>
  <c r="Y21" i="5"/>
  <c r="W19" i="5"/>
  <c r="W21" i="5" s="1"/>
  <c r="AI11" i="5"/>
  <c r="AI10" i="5"/>
  <c r="C29" i="36" l="1"/>
  <c r="K36" i="36"/>
  <c r="K37" i="36" s="1"/>
  <c r="D25" i="36"/>
  <c r="D26" i="36" s="1"/>
  <c r="D12" i="36"/>
  <c r="D13" i="36" s="1"/>
  <c r="E29" i="36"/>
  <c r="D31" i="36"/>
  <c r="K17" i="36"/>
  <c r="K18" i="36" s="1"/>
  <c r="D15" i="26"/>
  <c r="J12" i="26"/>
  <c r="D14" i="26"/>
  <c r="D17" i="26"/>
  <c r="C15" i="34"/>
  <c r="E15" i="34"/>
  <c r="C17" i="34" s="1"/>
  <c r="L10" i="34"/>
  <c r="J9" i="34"/>
  <c r="C15" i="24"/>
  <c r="D19" i="24"/>
  <c r="D21" i="24"/>
  <c r="D18" i="24"/>
  <c r="J10" i="30"/>
  <c r="M10" i="30" s="1"/>
  <c r="J4" i="30"/>
  <c r="M2" i="30"/>
  <c r="F12" i="30"/>
  <c r="E12" i="30"/>
  <c r="F13" i="30"/>
  <c r="E13" i="30"/>
  <c r="F14" i="30"/>
  <c r="E14" i="30"/>
  <c r="F15" i="30"/>
  <c r="E15" i="30"/>
  <c r="D17" i="28"/>
  <c r="T4" i="28"/>
  <c r="L21" i="28"/>
  <c r="N16" i="28"/>
  <c r="N15" i="28"/>
  <c r="M15" i="28"/>
  <c r="N13" i="28"/>
  <c r="M13" i="28"/>
  <c r="T18" i="28"/>
  <c r="T19" i="28"/>
  <c r="T20" i="28" s="1"/>
  <c r="D19" i="28"/>
  <c r="P15" i="22"/>
  <c r="G13" i="22"/>
  <c r="G14" i="22"/>
  <c r="G13" i="21"/>
  <c r="F14" i="21"/>
  <c r="G14" i="21" s="1"/>
  <c r="L26" i="16"/>
  <c r="L24" i="16"/>
  <c r="L25" i="16"/>
  <c r="L23" i="16"/>
  <c r="M19" i="16"/>
  <c r="M18" i="16"/>
  <c r="C17" i="16"/>
  <c r="C18" i="16"/>
  <c r="E11" i="10"/>
  <c r="D20" i="10" s="1"/>
  <c r="J16" i="10"/>
  <c r="L14" i="10"/>
  <c r="L15" i="10" s="1"/>
  <c r="R11" i="10"/>
  <c r="R12" i="10" s="1"/>
  <c r="R15" i="11"/>
  <c r="R17" i="11"/>
  <c r="S28" i="11"/>
  <c r="R20" i="11"/>
  <c r="T23" i="11" s="1"/>
  <c r="R24" i="11"/>
  <c r="E13" i="14"/>
  <c r="E14" i="14" s="1"/>
  <c r="E13" i="12"/>
  <c r="E14" i="12" s="1"/>
  <c r="AE21" i="5"/>
  <c r="E13" i="6"/>
  <c r="AD40" i="5"/>
  <c r="W23" i="5"/>
  <c r="I20" i="5"/>
  <c r="I23" i="5" s="1"/>
  <c r="J31" i="5"/>
  <c r="AD31" i="4"/>
  <c r="AD34" i="4"/>
  <c r="AD33" i="4"/>
  <c r="AD35" i="4" s="1"/>
  <c r="AD27" i="4"/>
  <c r="AC19" i="4"/>
  <c r="AE20" i="4"/>
  <c r="AC22" i="4"/>
  <c r="AC13" i="4"/>
  <c r="K11" i="4"/>
  <c r="K19" i="4"/>
  <c r="J26" i="4"/>
  <c r="K20" i="4"/>
  <c r="I19" i="4"/>
  <c r="I22" i="4"/>
  <c r="AD26" i="4"/>
  <c r="K12" i="5"/>
  <c r="J27" i="5"/>
  <c r="AD27" i="5"/>
  <c r="AJ29" i="5"/>
  <c r="AI12" i="5"/>
  <c r="AJ28" i="5"/>
  <c r="X29" i="5"/>
  <c r="C23" i="11"/>
  <c r="K17" i="11"/>
  <c r="L27" i="11" s="1"/>
  <c r="M23" i="11"/>
  <c r="C17" i="11"/>
  <c r="D28" i="11" s="1"/>
  <c r="C24" i="11"/>
  <c r="C25" i="11" s="1"/>
  <c r="D29" i="11" s="1"/>
  <c r="D30" i="11" s="1"/>
  <c r="R3" i="10"/>
  <c r="R2" i="10"/>
  <c r="E12" i="10"/>
  <c r="X37" i="5"/>
  <c r="AI14" i="5"/>
  <c r="J17" i="26" l="1"/>
  <c r="J16" i="26"/>
  <c r="J15" i="26"/>
  <c r="J11" i="34"/>
  <c r="C10" i="25"/>
  <c r="E8" i="25" s="1"/>
  <c r="J12" i="30"/>
  <c r="M12" i="30" s="1"/>
  <c r="J6" i="30"/>
  <c r="M6" i="30" s="1"/>
  <c r="M4" i="30"/>
  <c r="T15" i="28"/>
  <c r="D18" i="28"/>
  <c r="H12" i="21"/>
  <c r="J12" i="21"/>
  <c r="H13" i="21"/>
  <c r="J13" i="21" s="1"/>
  <c r="H14" i="21"/>
  <c r="J14" i="21" s="1"/>
  <c r="K17" i="16"/>
  <c r="K16" i="16"/>
  <c r="K18" i="16" s="1"/>
  <c r="K21" i="10"/>
  <c r="J13" i="10"/>
  <c r="J15" i="10"/>
  <c r="K22" i="10"/>
  <c r="R26" i="11"/>
  <c r="S29" i="11" s="1"/>
  <c r="S30" i="11" s="1"/>
  <c r="D19" i="14"/>
  <c r="D18" i="14"/>
  <c r="C13" i="14"/>
  <c r="C16" i="14" s="1"/>
  <c r="C13" i="12"/>
  <c r="C16" i="12" s="1"/>
  <c r="E18" i="12"/>
  <c r="C12" i="6"/>
  <c r="C15" i="6" s="1"/>
  <c r="D18" i="6"/>
  <c r="D17" i="6"/>
  <c r="AD31" i="5"/>
  <c r="AC20" i="5"/>
  <c r="AC23" i="5" s="1"/>
  <c r="AD30" i="4"/>
  <c r="AD28" i="4"/>
  <c r="AD36" i="4"/>
  <c r="J31" i="4"/>
  <c r="J36" i="4"/>
  <c r="J37" i="4"/>
  <c r="J34" i="4"/>
  <c r="J33" i="4"/>
  <c r="J27" i="4"/>
  <c r="J30" i="4"/>
  <c r="J28" i="4"/>
  <c r="I11" i="4"/>
  <c r="AD38" i="4"/>
  <c r="AD25" i="4"/>
  <c r="AD37" i="4"/>
  <c r="AD39" i="4"/>
  <c r="J38" i="4"/>
  <c r="J25" i="4"/>
  <c r="J39" i="4"/>
  <c r="I13" i="4"/>
  <c r="J40" i="5"/>
  <c r="J26" i="5"/>
  <c r="J38" i="5"/>
  <c r="J35" i="5"/>
  <c r="J41" i="5"/>
  <c r="J28" i="5"/>
  <c r="I12" i="5"/>
  <c r="I14" i="5" s="1"/>
  <c r="J34" i="5"/>
  <c r="AD26" i="5"/>
  <c r="AD38" i="5"/>
  <c r="AD35" i="5"/>
  <c r="AD41" i="5"/>
  <c r="AD28" i="5"/>
  <c r="AC12" i="5"/>
  <c r="AC14" i="5" s="1"/>
  <c r="AD34" i="5"/>
  <c r="K24" i="11"/>
  <c r="L28" i="11" s="1"/>
  <c r="L29" i="11" s="1"/>
  <c r="D16" i="10"/>
  <c r="D17" i="10"/>
  <c r="K25" i="10"/>
  <c r="C11" i="10"/>
  <c r="C13" i="10" s="1"/>
  <c r="W10" i="5"/>
  <c r="AJ41" i="5"/>
  <c r="AJ39" i="4"/>
  <c r="X39" i="4"/>
  <c r="X30" i="4"/>
  <c r="D30" i="4"/>
  <c r="P39" i="4"/>
  <c r="D39" i="4"/>
  <c r="O11" i="5"/>
  <c r="O19" i="5"/>
  <c r="O21" i="5" s="1"/>
  <c r="O23" i="5" s="1"/>
  <c r="P29" i="5"/>
  <c r="C19" i="5"/>
  <c r="O10" i="5"/>
  <c r="P28" i="5" s="1"/>
  <c r="P41" i="5"/>
  <c r="P40" i="5"/>
  <c r="P38" i="5"/>
  <c r="P37" i="5"/>
  <c r="P35" i="5"/>
  <c r="P34" i="5"/>
  <c r="P32" i="5"/>
  <c r="P27" i="5"/>
  <c r="P26" i="5"/>
  <c r="D32" i="5"/>
  <c r="D40" i="5"/>
  <c r="D26" i="5"/>
  <c r="D35" i="5"/>
  <c r="J18" i="26" l="1"/>
  <c r="N3" i="26" s="1"/>
  <c r="E9" i="25"/>
  <c r="E10" i="25" s="1"/>
  <c r="C15" i="25"/>
  <c r="R3" i="16"/>
  <c r="R2" i="16"/>
  <c r="J18" i="10"/>
  <c r="R4" i="10"/>
  <c r="AD29" i="4"/>
  <c r="J35" i="4"/>
  <c r="J29" i="4"/>
  <c r="J36" i="5"/>
  <c r="J29" i="5"/>
  <c r="J30" i="5" s="1"/>
  <c r="J37" i="5"/>
  <c r="J39" i="5" s="1"/>
  <c r="AD36" i="5"/>
  <c r="AD29" i="5"/>
  <c r="AD30" i="5" s="1"/>
  <c r="AD37" i="5"/>
  <c r="AD39" i="5" s="1"/>
  <c r="W12" i="5"/>
  <c r="W14" i="5" s="1"/>
  <c r="X28" i="5"/>
  <c r="D29" i="5"/>
  <c r="R6" i="10"/>
  <c r="K27" i="10"/>
  <c r="R8" i="10" s="1"/>
  <c r="O12" i="5"/>
  <c r="P31" i="5"/>
  <c r="D37" i="5"/>
  <c r="X34" i="5"/>
  <c r="AJ38" i="5"/>
  <c r="AJ34" i="5"/>
  <c r="AJ35" i="5"/>
  <c r="AJ36" i="5" s="1"/>
  <c r="AJ30" i="5"/>
  <c r="AJ27" i="5"/>
  <c r="AJ40" i="5"/>
  <c r="AJ37" i="5"/>
  <c r="AJ26" i="5"/>
  <c r="O14" i="5"/>
  <c r="P30" i="5"/>
  <c r="P36" i="5"/>
  <c r="P39" i="5"/>
  <c r="C21" i="5"/>
  <c r="C16" i="25" l="1"/>
  <c r="C18" i="25" s="1"/>
  <c r="D31" i="5"/>
  <c r="C23" i="5"/>
  <c r="AJ31" i="5"/>
  <c r="AJ39" i="5"/>
  <c r="C10" i="5"/>
  <c r="D41" i="5"/>
  <c r="W20" i="4"/>
  <c r="AI11" i="4"/>
  <c r="W11" i="4"/>
  <c r="X27" i="4" s="1"/>
  <c r="AI10" i="4"/>
  <c r="AI13" i="4" s="1"/>
  <c r="AI9" i="4"/>
  <c r="W9" i="4"/>
  <c r="O9" i="4"/>
  <c r="P33" i="4" s="1"/>
  <c r="O13" i="4"/>
  <c r="C20" i="4"/>
  <c r="D28" i="4" s="1"/>
  <c r="C18" i="4"/>
  <c r="C11" i="4"/>
  <c r="D27" i="4" s="1"/>
  <c r="C9" i="4"/>
  <c r="P31" i="4" l="1"/>
  <c r="O20" i="4"/>
  <c r="D28" i="5"/>
  <c r="D30" i="5" s="1"/>
  <c r="C13" i="4"/>
  <c r="D33" i="4"/>
  <c r="D26" i="4"/>
  <c r="D31" i="4"/>
  <c r="D29" i="4"/>
  <c r="P27" i="4"/>
  <c r="X33" i="4"/>
  <c r="AJ33" i="4"/>
  <c r="AJ27" i="4"/>
  <c r="W18" i="4"/>
  <c r="X38" i="4"/>
  <c r="X36" i="4"/>
  <c r="X25" i="4"/>
  <c r="X31" i="4"/>
  <c r="X28" i="4"/>
  <c r="X29" i="4" s="1"/>
  <c r="AJ38" i="4"/>
  <c r="AJ25" i="4"/>
  <c r="P37" i="4"/>
  <c r="P34" i="4"/>
  <c r="P35" i="4" s="1"/>
  <c r="P28" i="4"/>
  <c r="P29" i="4" s="1"/>
  <c r="P26" i="4"/>
  <c r="P36" i="4"/>
  <c r="P25" i="4"/>
  <c r="P38" i="4"/>
  <c r="C12" i="5"/>
  <c r="C14" i="5" s="1"/>
  <c r="D34" i="5"/>
  <c r="D36" i="5" s="1"/>
  <c r="D27" i="5"/>
  <c r="D38" i="5"/>
  <c r="D39" i="5" s="1"/>
  <c r="AI19" i="4"/>
  <c r="AI18" i="4"/>
  <c r="W13" i="4"/>
  <c r="O19" i="4"/>
  <c r="P30" i="4"/>
  <c r="O22" i="4"/>
  <c r="C22" i="4"/>
  <c r="D36" i="4" l="1"/>
  <c r="D38" i="4"/>
  <c r="D25" i="4"/>
  <c r="D37" i="4"/>
  <c r="D34" i="4"/>
  <c r="D35" i="4" s="1"/>
  <c r="AJ34" i="4"/>
  <c r="AJ35" i="4" s="1"/>
  <c r="AJ28" i="4"/>
  <c r="AJ29" i="4" s="1"/>
  <c r="AJ26" i="4"/>
  <c r="AJ37" i="4"/>
  <c r="AJ36" i="4"/>
  <c r="AJ31" i="4"/>
  <c r="X34" i="4"/>
  <c r="X35" i="4" s="1"/>
  <c r="X26" i="4"/>
  <c r="W22" i="4"/>
  <c r="X37" i="4"/>
  <c r="AI20" i="4"/>
  <c r="AJ30" i="4" s="1"/>
  <c r="AI22" i="4"/>
  <c r="X41" i="5" l="1"/>
  <c r="X31" i="5"/>
  <c r="X40" i="5"/>
  <c r="X26" i="5" l="1"/>
  <c r="X35" i="5" l="1"/>
  <c r="X36" i="5" s="1"/>
  <c r="X27" i="5"/>
  <c r="X38" i="5"/>
  <c r="X39" i="5" s="1"/>
  <c r="X30" i="5" l="1"/>
  <c r="L19" i="28" l="1"/>
  <c r="T13" i="28"/>
  <c r="L20" i="28"/>
  <c r="T14" i="28"/>
  <c r="R2" i="34" l="1"/>
  <c r="R3" i="34" l="1"/>
  <c r="C9" i="34"/>
  <c r="C10" i="34" s="1"/>
  <c r="R5" i="34" l="1"/>
  <c r="R4" i="34"/>
  <c r="E18" i="32" l="1"/>
  <c r="E19" i="32"/>
  <c r="D21" i="32"/>
  <c r="D22" i="32"/>
  <c r="C12" i="19"/>
  <c r="D12" i="19"/>
  <c r="C13" i="19"/>
  <c r="D13" i="19"/>
  <c r="C14" i="19"/>
  <c r="J16" i="19"/>
  <c r="K16" i="19"/>
  <c r="L16" i="19"/>
  <c r="M16" i="19"/>
  <c r="J17" i="19"/>
  <c r="K17" i="19"/>
  <c r="L17" i="19"/>
  <c r="M17" i="19"/>
  <c r="J18" i="19"/>
  <c r="L18" i="19"/>
</calcChain>
</file>

<file path=xl/sharedStrings.xml><?xml version="1.0" encoding="utf-8"?>
<sst xmlns="http://schemas.openxmlformats.org/spreadsheetml/2006/main" count="1209" uniqueCount="345">
  <si>
    <t>P=</t>
  </si>
  <si>
    <t>Demanda=</t>
  </si>
  <si>
    <t>Oferta=</t>
  </si>
  <si>
    <t>Competencia perfecta</t>
  </si>
  <si>
    <t>Cmg=</t>
  </si>
  <si>
    <t>Monopolio</t>
  </si>
  <si>
    <t>Antes de impuestos</t>
  </si>
  <si>
    <t>Despues de impuestos</t>
  </si>
  <si>
    <t>Pc=</t>
  </si>
  <si>
    <t>Po=</t>
  </si>
  <si>
    <t>Impuesto especifico</t>
  </si>
  <si>
    <t>a=</t>
  </si>
  <si>
    <t>b=</t>
  </si>
  <si>
    <t>c=</t>
  </si>
  <si>
    <t>d=</t>
  </si>
  <si>
    <t>Diferencia=</t>
  </si>
  <si>
    <t>Demanda´=</t>
  </si>
  <si>
    <t>Impuesto=</t>
  </si>
  <si>
    <t>Aumento de precio=</t>
  </si>
  <si>
    <t>Caida de cantidades=</t>
  </si>
  <si>
    <t>Traslado a consumidor=</t>
  </si>
  <si>
    <t>Traslado a oferente=</t>
  </si>
  <si>
    <t>Img=</t>
  </si>
  <si>
    <t>Img´=</t>
  </si>
  <si>
    <t>Recaudacion=</t>
  </si>
  <si>
    <t>Peso muerto=</t>
  </si>
  <si>
    <t>Resultados</t>
  </si>
  <si>
    <t>Impuesto ad-valorem</t>
  </si>
  <si>
    <t>A=</t>
  </si>
  <si>
    <r>
      <rPr>
        <sz val="11"/>
        <color theme="1"/>
        <rFont val="Calibri"/>
        <family val="2"/>
      </rPr>
      <t>ε</t>
    </r>
    <r>
      <rPr>
        <sz val="9.9"/>
        <color theme="1"/>
        <rFont val="Calibri"/>
        <family val="2"/>
      </rPr>
      <t>=</t>
    </r>
  </si>
  <si>
    <t>Eficiencia fiscal=</t>
  </si>
  <si>
    <t>E.C. pre=</t>
  </si>
  <si>
    <t>E.C. post=</t>
  </si>
  <si>
    <t>Var. E.C.=</t>
  </si>
  <si>
    <t>Var. Beneficios=</t>
  </si>
  <si>
    <t>Markup=</t>
  </si>
  <si>
    <t>Beneficios pre=</t>
  </si>
  <si>
    <t>Lerner=</t>
  </si>
  <si>
    <t>Precio</t>
  </si>
  <si>
    <t>Beneficios</t>
  </si>
  <si>
    <t>Cantidades</t>
  </si>
  <si>
    <t>Tamaño</t>
  </si>
  <si>
    <t>Costo cuadratico</t>
  </si>
  <si>
    <t>Costo lineal</t>
  </si>
  <si>
    <t>Costo fijo</t>
  </si>
  <si>
    <t>Markup</t>
  </si>
  <si>
    <t>n=</t>
  </si>
  <si>
    <t>Qi=</t>
  </si>
  <si>
    <t>Firmas</t>
  </si>
  <si>
    <t>Oligopolio simetrico</t>
  </si>
  <si>
    <t>Pre-fusion</t>
  </si>
  <si>
    <t>Post-fusion</t>
  </si>
  <si>
    <t>Bienestar pre=</t>
  </si>
  <si>
    <t>Bienestar post=</t>
  </si>
  <si>
    <t>Var. Bienestar=</t>
  </si>
  <si>
    <t>Beneficios post=</t>
  </si>
  <si>
    <t>Var. Recaudacion=</t>
  </si>
  <si>
    <t>Markup pre=</t>
  </si>
  <si>
    <t>Lerner pre=</t>
  </si>
  <si>
    <t>Markup post=</t>
  </si>
  <si>
    <t>Lerner post=</t>
  </si>
  <si>
    <t>Outsiders</t>
  </si>
  <si>
    <t>Insider</t>
  </si>
  <si>
    <t>Qj=</t>
  </si>
  <si>
    <t>Imgi=</t>
  </si>
  <si>
    <t>Cmgi=</t>
  </si>
  <si>
    <t>Imgj=</t>
  </si>
  <si>
    <t>Cmgj=</t>
  </si>
  <si>
    <t>Var. Precio=</t>
  </si>
  <si>
    <t>Var. Cantidades=</t>
  </si>
  <si>
    <t>A1=</t>
  </si>
  <si>
    <r>
      <t>ε1</t>
    </r>
    <r>
      <rPr>
        <sz val="9.9"/>
        <color theme="1"/>
        <rFont val="Calibri"/>
        <family val="2"/>
      </rPr>
      <t>=</t>
    </r>
  </si>
  <si>
    <t>A2=</t>
  </si>
  <si>
    <r>
      <t>ε2</t>
    </r>
    <r>
      <rPr>
        <sz val="9.9"/>
        <color theme="1"/>
        <rFont val="Calibri"/>
        <family val="2"/>
      </rPr>
      <t>=</t>
    </r>
  </si>
  <si>
    <t>Q1=</t>
  </si>
  <si>
    <t>Q2=</t>
  </si>
  <si>
    <t>Q=</t>
  </si>
  <si>
    <t>P1=</t>
  </si>
  <si>
    <t>P2=</t>
  </si>
  <si>
    <t>IT=</t>
  </si>
  <si>
    <t>CT=</t>
  </si>
  <si>
    <t>Beneficio=</t>
  </si>
  <si>
    <t>Precio Uniforme</t>
  </si>
  <si>
    <t>AH=</t>
  </si>
  <si>
    <r>
      <t>εH</t>
    </r>
    <r>
      <rPr>
        <sz val="9.9"/>
        <color theme="1"/>
        <rFont val="Calibri"/>
        <family val="2"/>
      </rPr>
      <t>=</t>
    </r>
  </si>
  <si>
    <t>AL=</t>
  </si>
  <si>
    <t>εL=</t>
  </si>
  <si>
    <t>QL=</t>
  </si>
  <si>
    <t>QH=</t>
  </si>
  <si>
    <t>VH(ql)=</t>
  </si>
  <si>
    <t>VH(qh)=</t>
  </si>
  <si>
    <t>VL(ql)=</t>
  </si>
  <si>
    <t>TL=</t>
  </si>
  <si>
    <t>TH=</t>
  </si>
  <si>
    <t>Discriminacion 2°grado (paquetes)</t>
  </si>
  <si>
    <t>Discriminacion 3°grado (segmentacion)</t>
  </si>
  <si>
    <t>Media</t>
  </si>
  <si>
    <t>Desvio</t>
  </si>
  <si>
    <t>Iteracion</t>
  </si>
  <si>
    <t>Beneficio simulado</t>
  </si>
  <si>
    <t>Precio simulado</t>
  </si>
  <si>
    <t>Minimo:</t>
  </si>
  <si>
    <t>Promedio:</t>
  </si>
  <si>
    <t>Prob de perdida:</t>
  </si>
  <si>
    <t>Elasticidad</t>
  </si>
  <si>
    <t>Impuesto</t>
  </si>
  <si>
    <t>Variable</t>
  </si>
  <si>
    <t>Escenario</t>
  </si>
  <si>
    <t>Desvio:</t>
  </si>
  <si>
    <t>Beneficios:</t>
  </si>
  <si>
    <t>Maximo:</t>
  </si>
  <si>
    <t>Precios:</t>
  </si>
  <si>
    <t>Autor: Diaz de Sosa, Marco</t>
  </si>
  <si>
    <t>Discriminacion 2°grado (T2P)</t>
  </si>
  <si>
    <t>PL=</t>
  </si>
  <si>
    <t>PH=</t>
  </si>
  <si>
    <t>QH en L=</t>
  </si>
  <si>
    <t>FL=</t>
  </si>
  <si>
    <t>FH=</t>
  </si>
  <si>
    <t>E.C. H=</t>
  </si>
  <si>
    <t>E.C. L=</t>
  </si>
  <si>
    <t>E.C. H en L=</t>
  </si>
  <si>
    <t>HHI pre=</t>
  </si>
  <si>
    <t>HHI post=</t>
  </si>
  <si>
    <t>Var. HHI=</t>
  </si>
  <si>
    <r>
      <rPr>
        <sz val="11"/>
        <color theme="1"/>
        <rFont val="Calibri"/>
        <family val="2"/>
      </rPr>
      <t>α</t>
    </r>
    <r>
      <rPr>
        <sz val="11"/>
        <color theme="1"/>
        <rFont val="Calibri"/>
        <family val="2"/>
        <scheme val="minor"/>
      </rPr>
      <t>=</t>
    </r>
  </si>
  <si>
    <r>
      <rPr>
        <sz val="11"/>
        <color theme="1"/>
        <rFont val="Calibri"/>
        <family val="2"/>
      </rPr>
      <t>γ</t>
    </r>
    <r>
      <rPr>
        <sz val="11"/>
        <color theme="1"/>
        <rFont val="Calibri"/>
        <family val="2"/>
        <scheme val="minor"/>
      </rPr>
      <t>=</t>
    </r>
  </si>
  <si>
    <r>
      <rPr>
        <sz val="11"/>
        <color theme="1"/>
        <rFont val="Calibri"/>
        <family val="2"/>
      </rPr>
      <t>β</t>
    </r>
    <r>
      <rPr>
        <sz val="11"/>
        <color theme="1"/>
        <rFont val="Calibri"/>
        <family val="2"/>
        <scheme val="minor"/>
      </rPr>
      <t>=</t>
    </r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</si>
  <si>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=</t>
    </r>
  </si>
  <si>
    <t>C1=</t>
  </si>
  <si>
    <t>C2=</t>
  </si>
  <si>
    <t>F=</t>
  </si>
  <si>
    <t>Equilibrio</t>
  </si>
  <si>
    <t>Impuesto1=</t>
  </si>
  <si>
    <t>Impuesto2=</t>
  </si>
  <si>
    <t>Ganancia de coordinacion=</t>
  </si>
  <si>
    <t>Markup1=</t>
  </si>
  <si>
    <t>Markup2=</t>
  </si>
  <si>
    <t>Lerner1=</t>
  </si>
  <si>
    <t>Lerner2=</t>
  </si>
  <si>
    <t>CANIBALIZACION</t>
  </si>
  <si>
    <t>Market share</t>
  </si>
  <si>
    <t>Beneficio</t>
  </si>
  <si>
    <t>Producto</t>
  </si>
  <si>
    <t>Marca propia (X)</t>
  </si>
  <si>
    <t>Competidor1 (Y)</t>
  </si>
  <si>
    <t>Competidor2 (Z)</t>
  </si>
  <si>
    <t>X</t>
  </si>
  <si>
    <t>Y</t>
  </si>
  <si>
    <t>Z</t>
  </si>
  <si>
    <t>Caracteristica A:</t>
  </si>
  <si>
    <t>Caracteristica B:</t>
  </si>
  <si>
    <t>Preferencias</t>
  </si>
  <si>
    <t>Castigo por distancia:</t>
  </si>
  <si>
    <t>Distancia</t>
  </si>
  <si>
    <t>Cmg</t>
  </si>
  <si>
    <t>Costos</t>
  </si>
  <si>
    <t>Utilidad (1-1000)</t>
  </si>
  <si>
    <t>Caracteristica B (1-10)</t>
  </si>
  <si>
    <t>Caracteristica A (1-10)</t>
  </si>
  <si>
    <t>Matriz de similitud entre marcas (0-1)</t>
  </si>
  <si>
    <t>Aglomeracion</t>
  </si>
  <si>
    <t>Sensibilidad a la sustitucion:</t>
  </si>
  <si>
    <t>Matriz de distancia entre marcas</t>
  </si>
  <si>
    <t>Calidad</t>
  </si>
  <si>
    <t>Tamaño (A)</t>
  </si>
  <si>
    <t>Costo base</t>
  </si>
  <si>
    <t>Convexidad costo</t>
  </si>
  <si>
    <t>Elasticidad-precio cruzada</t>
  </si>
  <si>
    <t>Elasticidad-precio</t>
  </si>
  <si>
    <t>Elasticidad-calidad cruzada</t>
  </si>
  <si>
    <t>Elasticidad-calidad</t>
  </si>
  <si>
    <t>Empresa 1</t>
  </si>
  <si>
    <t>Empresa 2</t>
  </si>
  <si>
    <t>Demanda</t>
  </si>
  <si>
    <t>Numero de firmas</t>
  </si>
  <si>
    <t>Oligopolio asimetrico</t>
  </si>
  <si>
    <t>Mi empresa</t>
  </si>
  <si>
    <t>Resto</t>
  </si>
  <si>
    <t>Costo base competencia</t>
  </si>
  <si>
    <t>Convexidad-costo competencia</t>
  </si>
  <si>
    <r>
      <t>ϵ</t>
    </r>
    <r>
      <rPr>
        <sz val="8.8000000000000007"/>
        <color theme="1"/>
        <rFont val="Calibri"/>
        <family val="2"/>
      </rPr>
      <t>2=</t>
    </r>
  </si>
  <si>
    <r>
      <t>ϵ3</t>
    </r>
    <r>
      <rPr>
        <sz val="8.8000000000000007"/>
        <color theme="1"/>
        <rFont val="Calibri"/>
        <family val="2"/>
      </rPr>
      <t>=</t>
    </r>
  </si>
  <si>
    <r>
      <rPr>
        <sz val="11"/>
        <color theme="1"/>
        <rFont val="Calibri"/>
        <family val="2"/>
      </rPr>
      <t>ϵ</t>
    </r>
    <r>
      <rPr>
        <sz val="8.8000000000000007"/>
        <color theme="1"/>
        <rFont val="Calibri"/>
        <family val="2"/>
      </rPr>
      <t>4=</t>
    </r>
  </si>
  <si>
    <t>Empresa 3</t>
  </si>
  <si>
    <t>Empresa 4</t>
  </si>
  <si>
    <t>Precios</t>
  </si>
  <si>
    <t>IT bruto</t>
  </si>
  <si>
    <t>Var. EC=</t>
  </si>
  <si>
    <t>EC post=</t>
  </si>
  <si>
    <t>CMCR=</t>
  </si>
  <si>
    <t>Indice de Lerner=</t>
  </si>
  <si>
    <t>Ratio de desvio=</t>
  </si>
  <si>
    <t>Los costos deben caer</t>
  </si>
  <si>
    <t>para que el precio no aumente</t>
  </si>
  <si>
    <t>UPP=</t>
  </si>
  <si>
    <t>GUPPI=</t>
  </si>
  <si>
    <t>IPR=</t>
  </si>
  <si>
    <t>Sinergia=</t>
  </si>
  <si>
    <t>El precio aumentara</t>
  </si>
  <si>
    <t>si no hay sinergias</t>
  </si>
  <si>
    <t>con sinergias</t>
  </si>
  <si>
    <t>El precio variara</t>
  </si>
  <si>
    <t>De mercado</t>
  </si>
  <si>
    <t>Propios</t>
  </si>
  <si>
    <t>Var. Beneficio=</t>
  </si>
  <si>
    <t>De bienestar</t>
  </si>
  <si>
    <t>Concentracion</t>
  </si>
  <si>
    <t>Lado A</t>
  </si>
  <si>
    <t>Lado B</t>
  </si>
  <si>
    <r>
      <t>Efecto red cruzado (</t>
    </r>
    <r>
      <rPr>
        <sz val="11"/>
        <color theme="1"/>
        <rFont val="Calibri"/>
        <family val="2"/>
      </rPr>
      <t>θ)</t>
    </r>
  </si>
  <si>
    <r>
      <t>Elasticidad-precio (</t>
    </r>
    <r>
      <rPr>
        <sz val="11"/>
        <color theme="1"/>
        <rFont val="Calibri"/>
        <family val="2"/>
      </rPr>
      <t>ε)</t>
    </r>
  </si>
  <si>
    <r>
      <t>Tamaño (</t>
    </r>
    <r>
      <rPr>
        <sz val="11"/>
        <color theme="1"/>
        <rFont val="Calibri"/>
        <family val="2"/>
      </rPr>
      <t>α, β)</t>
    </r>
  </si>
  <si>
    <t>Costo marginal (c)</t>
  </si>
  <si>
    <t>Beneficio total</t>
  </si>
  <si>
    <t>Duopolio</t>
  </si>
  <si>
    <t>Costo de transporte (t)</t>
  </si>
  <si>
    <t>Share</t>
  </si>
  <si>
    <t>Costo marginal (c1)</t>
  </si>
  <si>
    <t>Costo marginal (c2)</t>
  </si>
  <si>
    <r>
      <t>Efecto red cruzado (</t>
    </r>
    <r>
      <rPr>
        <sz val="11"/>
        <color theme="1"/>
        <rFont val="Calibri"/>
        <family val="2"/>
      </rPr>
      <t>θ1)</t>
    </r>
  </si>
  <si>
    <t>Efecto red cruzado (θ2)</t>
  </si>
  <si>
    <r>
      <rPr>
        <sz val="11"/>
        <color theme="1"/>
        <rFont val="Calibri"/>
        <family val="2"/>
      </rPr>
      <t>γ</t>
    </r>
    <r>
      <rPr>
        <sz val="8.8000000000000007"/>
        <color theme="1"/>
        <rFont val="Calibri"/>
        <family val="2"/>
      </rPr>
      <t>=</t>
    </r>
  </si>
  <si>
    <t>β=</t>
  </si>
  <si>
    <t>Cournot</t>
  </si>
  <si>
    <t>i</t>
  </si>
  <si>
    <t>j</t>
  </si>
  <si>
    <t>Z:</t>
  </si>
  <si>
    <t>X:</t>
  </si>
  <si>
    <t>Costo de I+D:</t>
  </si>
  <si>
    <t>Precio:</t>
  </si>
  <si>
    <t>Cmg:</t>
  </si>
  <si>
    <t>Beneficio:</t>
  </si>
  <si>
    <t>Intensidad de I+D:</t>
  </si>
  <si>
    <t>Indice de Lerner:</t>
  </si>
  <si>
    <t>Ahorro por eficiencia:</t>
  </si>
  <si>
    <t>Retorno de I+D:</t>
  </si>
  <si>
    <t>Stackelberg</t>
  </si>
  <si>
    <t>Alianza RJV</t>
  </si>
  <si>
    <t>Inversión (Z)</t>
  </si>
  <si>
    <t>Producción (X)</t>
  </si>
  <si>
    <t>Comparativa</t>
  </si>
  <si>
    <t>Franquiciados</t>
  </si>
  <si>
    <t>Precio=</t>
  </si>
  <si>
    <t>Cantidades=</t>
  </si>
  <si>
    <t>Ingresos=</t>
  </si>
  <si>
    <t>Costos=</t>
  </si>
  <si>
    <t>Franquiciante</t>
  </si>
  <si>
    <t>Costo=</t>
  </si>
  <si>
    <t>Monto fijo=</t>
  </si>
  <si>
    <t>Beneficios=</t>
  </si>
  <si>
    <t>Upstream</t>
  </si>
  <si>
    <t>Downstream</t>
  </si>
  <si>
    <t>Firma fusionada</t>
  </si>
  <si>
    <t>Pw=</t>
  </si>
  <si>
    <t>Pre contrato</t>
  </si>
  <si>
    <t>Valoracion=</t>
  </si>
  <si>
    <t>Prob de entrada=</t>
  </si>
  <si>
    <t>Utilidad esperada=</t>
  </si>
  <si>
    <t>Prob de no entrada=</t>
  </si>
  <si>
    <t>Beneficio esperado=</t>
  </si>
  <si>
    <t>Costo entrante=</t>
  </si>
  <si>
    <t>Beneficio entrante esperado=</t>
  </si>
  <si>
    <t>C min</t>
  </si>
  <si>
    <t>C max</t>
  </si>
  <si>
    <t>Costo esperado dado que entra=</t>
  </si>
  <si>
    <t>Post contrato</t>
  </si>
  <si>
    <t>Clausula de recision=</t>
  </si>
  <si>
    <t>Bienestar esperado=</t>
  </si>
  <si>
    <t>Var. % del bienestar=</t>
  </si>
  <si>
    <t>Var. % del beneficio=</t>
  </si>
  <si>
    <t>2° Precio</t>
  </si>
  <si>
    <t>Oferente</t>
  </si>
  <si>
    <t>Subastador</t>
  </si>
  <si>
    <t>Precio de reserva=</t>
  </si>
  <si>
    <t>Revenue esperado=</t>
  </si>
  <si>
    <t>Prob de quedar desierta=</t>
  </si>
  <si>
    <t>Estrategia debilmente dominante: ofertar su maxima valoracion</t>
  </si>
  <si>
    <t>N° de postores=</t>
  </si>
  <si>
    <t>Valoracion min=</t>
  </si>
  <si>
    <t>Valoracion max=</t>
  </si>
  <si>
    <t>1° precio</t>
  </si>
  <si>
    <t>N° de competidores=</t>
  </si>
  <si>
    <t>Valoracion real=</t>
  </si>
  <si>
    <t>Prob de ganar=</t>
  </si>
  <si>
    <t>Equivalente a subasta de 2° precio.</t>
  </si>
  <si>
    <t>Con aversion al riesgo, 1°precio es mejor</t>
  </si>
  <si>
    <t>Rezago=</t>
  </si>
  <si>
    <t>Matriz de pagos</t>
  </si>
  <si>
    <t>Competencia=</t>
  </si>
  <si>
    <t>Traicion=</t>
  </si>
  <si>
    <r>
      <rPr>
        <sz val="11"/>
        <color theme="1"/>
        <rFont val="Calibri"/>
        <family val="2"/>
      </rPr>
      <t>δ</t>
    </r>
    <r>
      <rPr>
        <sz val="9.9"/>
        <color theme="1"/>
        <rFont val="Calibri"/>
        <family val="2"/>
      </rPr>
      <t xml:space="preserve"> critico=</t>
    </r>
  </si>
  <si>
    <t>Demanda res.=</t>
  </si>
  <si>
    <r>
      <t>δ</t>
    </r>
    <r>
      <rPr>
        <sz val="9.9"/>
        <color theme="1"/>
        <rFont val="Calibri"/>
        <family val="2"/>
      </rPr>
      <t xml:space="preserve"> critico con rezago=</t>
    </r>
  </si>
  <si>
    <t>Cournot simetrico</t>
  </si>
  <si>
    <t>Bertand producto diferenciado</t>
  </si>
  <si>
    <r>
      <rPr>
        <sz val="11"/>
        <color theme="1"/>
        <rFont val="Calibri"/>
        <family val="2"/>
      </rPr>
      <t>γ</t>
    </r>
    <r>
      <rPr>
        <sz val="9.9"/>
        <color theme="1"/>
        <rFont val="Calibri"/>
        <family val="2"/>
      </rPr>
      <t>=</t>
    </r>
  </si>
  <si>
    <t>Colusion=</t>
  </si>
  <si>
    <t>Mercado A</t>
  </si>
  <si>
    <t>Mercado B</t>
  </si>
  <si>
    <r>
      <rPr>
        <sz val="11"/>
        <color theme="1"/>
        <rFont val="Calibri"/>
        <family val="2"/>
      </rPr>
      <t>δ</t>
    </r>
    <r>
      <rPr>
        <sz val="9.9"/>
        <color theme="1"/>
        <rFont val="Calibri"/>
        <family val="2"/>
      </rPr>
      <t xml:space="preserve"> con rezago=</t>
    </r>
  </si>
  <si>
    <t>Castigo esperado=</t>
  </si>
  <si>
    <t>Tentacion total=</t>
  </si>
  <si>
    <t>Contacto multimercado</t>
  </si>
  <si>
    <t>Inversion en capacidad</t>
  </si>
  <si>
    <t>Acomodacion</t>
  </si>
  <si>
    <t>Entrante=</t>
  </si>
  <si>
    <t>Total=</t>
  </si>
  <si>
    <t>Incumbente=</t>
  </si>
  <si>
    <t>Disuacion</t>
  </si>
  <si>
    <t>Beneficio entrante=</t>
  </si>
  <si>
    <t>Beneficio incumbente=</t>
  </si>
  <si>
    <t>Beneficio (si no entro)=</t>
  </si>
  <si>
    <t>Decision</t>
  </si>
  <si>
    <t>Precios limitantes</t>
  </si>
  <si>
    <t>c bajo=</t>
  </si>
  <si>
    <t>c alto=</t>
  </si>
  <si>
    <t>c entrante=</t>
  </si>
  <si>
    <t>Duo. bajo=</t>
  </si>
  <si>
    <t>Duo. alto=</t>
  </si>
  <si>
    <t>Mono. alto=</t>
  </si>
  <si>
    <t>Mono. bajo=</t>
  </si>
  <si>
    <t>1° Costos altos</t>
  </si>
  <si>
    <t>Benef. verdad=</t>
  </si>
  <si>
    <t>Benef. mentir=</t>
  </si>
  <si>
    <t>Diferencia</t>
  </si>
  <si>
    <t>2° Costos bajos</t>
  </si>
  <si>
    <t>P limitante min=</t>
  </si>
  <si>
    <t>Conclusion</t>
  </si>
  <si>
    <r>
      <t xml:space="preserve">Precio limitante </t>
    </r>
    <r>
      <rPr>
        <sz val="11"/>
        <color theme="1"/>
        <rFont val="Calibri"/>
        <family val="2"/>
      </rPr>
      <t>ϵ [</t>
    </r>
  </si>
  <si>
    <t>]</t>
  </si>
  <si>
    <t>Factor descuento=</t>
  </si>
  <si>
    <t>Mercado</t>
  </si>
  <si>
    <t>Excedente total=</t>
  </si>
  <si>
    <t>Integracion vertical (aguas arriba)</t>
  </si>
  <si>
    <t>Excendente total=</t>
  </si>
  <si>
    <t>Integracion vertical (aguas abajo)</t>
  </si>
  <si>
    <t>Poder de negociacion relativo:</t>
  </si>
  <si>
    <t>Sinergia en discusión:</t>
  </si>
  <si>
    <r>
      <t>Productivididad de mi inversion (</t>
    </r>
    <r>
      <rPr>
        <sz val="11"/>
        <color theme="1"/>
        <rFont val="Calibri"/>
        <family val="2"/>
      </rPr>
      <t>α</t>
    </r>
    <r>
      <rPr>
        <sz val="9.9"/>
        <color theme="1"/>
        <rFont val="Calibri"/>
        <family val="2"/>
      </rPr>
      <t>)</t>
    </r>
    <r>
      <rPr>
        <sz val="11"/>
        <color theme="1"/>
        <rFont val="Calibri"/>
        <family val="2"/>
        <scheme val="minor"/>
      </rPr>
      <t>:</t>
    </r>
  </si>
  <si>
    <t>Mi inversion (i)=</t>
  </si>
  <si>
    <t>Otra inversion (e)=</t>
  </si>
  <si>
    <r>
      <t>Productividad de otra inversion (</t>
    </r>
    <r>
      <rPr>
        <sz val="11"/>
        <color theme="1"/>
        <rFont val="Calibri"/>
        <family val="2"/>
      </rPr>
      <t>β</t>
    </r>
    <r>
      <rPr>
        <sz val="9.9"/>
        <color theme="1"/>
        <rFont val="Calibri"/>
        <family val="2"/>
      </rPr>
      <t>)</t>
    </r>
    <r>
      <rPr>
        <sz val="11"/>
        <color theme="1"/>
        <rFont val="Calibri"/>
        <family val="2"/>
        <scheme val="minor"/>
      </rPr>
      <t>:</t>
    </r>
  </si>
  <si>
    <t>GHM model</t>
  </si>
  <si>
    <t>MODELOS DE ORGANIZACIÓN INDUSTRIAL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</si>
</sst>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4" formatCode="_-&quot;$&quot;\ * #,##0.00_-;\-&quot;$&quot;\ * #,##0.00_-;_-&quot;$&quot;\ * &quot;-&quot;??_-;_-@_-"/>
    <numFmt numFmtId="164" formatCode="0.0"/>
    <numFmt numFmtId="165" formatCode="0.0%"/>
    <numFmt numFmtId="166" formatCode="&quot;$&quot;\ #,##0.00"/>
    <numFmt numFmtId="167" formatCode="&quot;$&quot;\ #,##0.0"/>
    <numFmt numFmtId="168" formatCode="&quot;$&quot;\ #,##0.0;\-&quot;$&quot;\ #,##0.0"/>
    <numFmt numFmtId="169" formatCode="0.00000000"/>
    <numFmt numFmtId="170" formatCode="0.000%"/>
    <numFmt numFmtId="171" formatCode="0.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9.9"/>
      <color theme="1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8.8000000000000007"/>
      <color theme="1"/>
      <name val="Calibri"/>
      <family val="2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6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0" fontId="0" fillId="4" borderId="0" xfId="0" applyFill="1"/>
    <xf numFmtId="164" fontId="0" fillId="4" borderId="0" xfId="0" applyNumberFormat="1" applyFill="1" applyAlignment="1">
      <alignment horizontal="left"/>
    </xf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right" vertical="center"/>
    </xf>
    <xf numFmtId="0" fontId="0" fillId="4" borderId="3" xfId="0" applyFill="1" applyBorder="1" applyAlignment="1">
      <alignment horizontal="left" vertical="center"/>
    </xf>
    <xf numFmtId="0" fontId="0" fillId="4" borderId="0" xfId="0" applyFill="1" applyAlignment="1">
      <alignment horizontal="right" vertical="center"/>
    </xf>
    <xf numFmtId="0" fontId="0" fillId="4" borderId="4" xfId="0" applyFill="1" applyBorder="1" applyAlignment="1">
      <alignment horizontal="right" vertical="center"/>
    </xf>
    <xf numFmtId="0" fontId="0" fillId="4" borderId="5" xfId="0" applyFill="1" applyBorder="1" applyAlignment="1">
      <alignment horizontal="left" vertical="center"/>
    </xf>
    <xf numFmtId="0" fontId="0" fillId="4" borderId="6" xfId="0" applyFill="1" applyBorder="1" applyAlignment="1">
      <alignment horizontal="right" vertical="center"/>
    </xf>
    <xf numFmtId="0" fontId="0" fillId="4" borderId="7" xfId="0" applyFill="1" applyBorder="1" applyAlignment="1">
      <alignment horizontal="left" vertical="center"/>
    </xf>
    <xf numFmtId="0" fontId="0" fillId="4" borderId="2" xfId="0" applyFill="1" applyBorder="1" applyAlignment="1">
      <alignment horizontal="right"/>
    </xf>
    <xf numFmtId="9" fontId="0" fillId="4" borderId="0" xfId="1" applyFont="1" applyFill="1"/>
    <xf numFmtId="166" fontId="0" fillId="4" borderId="0" xfId="2" applyNumberFormat="1" applyFont="1" applyFill="1"/>
    <xf numFmtId="166" fontId="0" fillId="4" borderId="0" xfId="1" applyNumberFormat="1" applyFont="1" applyFill="1"/>
    <xf numFmtId="165" fontId="0" fillId="4" borderId="3" xfId="1" applyNumberFormat="1" applyFont="1" applyFill="1" applyBorder="1" applyAlignment="1">
      <alignment horizontal="left"/>
    </xf>
    <xf numFmtId="0" fontId="4" fillId="4" borderId="2" xfId="0" applyFont="1" applyFill="1" applyBorder="1" applyAlignment="1">
      <alignment horizontal="right" vertical="center"/>
    </xf>
    <xf numFmtId="2" fontId="0" fillId="4" borderId="0" xfId="0" applyNumberFormat="1" applyFill="1" applyAlignment="1">
      <alignment horizontal="left"/>
    </xf>
    <xf numFmtId="165" fontId="0" fillId="4" borderId="0" xfId="1" applyNumberFormat="1" applyFont="1" applyFill="1"/>
    <xf numFmtId="166" fontId="0" fillId="4" borderId="0" xfId="0" applyNumberFormat="1" applyFill="1"/>
    <xf numFmtId="167" fontId="0" fillId="4" borderId="0" xfId="0" applyNumberFormat="1" applyFill="1"/>
    <xf numFmtId="0" fontId="2" fillId="4" borderId="0" xfId="0" applyFont="1" applyFill="1"/>
    <xf numFmtId="7" fontId="0" fillId="4" borderId="0" xfId="0" applyNumberFormat="1" applyFill="1"/>
    <xf numFmtId="0" fontId="0" fillId="4" borderId="10" xfId="0" applyFill="1" applyBorder="1"/>
    <xf numFmtId="0" fontId="0" fillId="4" borderId="11" xfId="0" applyFill="1" applyBorder="1"/>
    <xf numFmtId="164" fontId="0" fillId="4" borderId="10" xfId="0" applyNumberFormat="1" applyFill="1" applyBorder="1"/>
    <xf numFmtId="164" fontId="0" fillId="4" borderId="11" xfId="0" applyNumberFormat="1" applyFill="1" applyBorder="1"/>
    <xf numFmtId="0" fontId="2" fillId="4" borderId="0" xfId="0" applyFont="1" applyFill="1" applyAlignment="1">
      <alignment vertical="top" wrapText="1"/>
    </xf>
    <xf numFmtId="164" fontId="0" fillId="4" borderId="9" xfId="0" applyNumberFormat="1" applyFill="1" applyBorder="1"/>
    <xf numFmtId="164" fontId="0" fillId="4" borderId="5" xfId="0" applyNumberFormat="1" applyFill="1" applyBorder="1"/>
    <xf numFmtId="0" fontId="0" fillId="4" borderId="8" xfId="0" applyFill="1" applyBorder="1" applyAlignment="1">
      <alignment horizontal="center"/>
    </xf>
    <xf numFmtId="2" fontId="0" fillId="4" borderId="8" xfId="0" applyNumberFormat="1" applyFill="1" applyBorder="1" applyAlignment="1">
      <alignment horizontal="center"/>
    </xf>
    <xf numFmtId="2" fontId="0" fillId="4" borderId="3" xfId="0" applyNumberForma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68" fontId="0" fillId="4" borderId="9" xfId="0" applyNumberFormat="1" applyFill="1" applyBorder="1"/>
    <xf numFmtId="168" fontId="0" fillId="4" borderId="5" xfId="0" applyNumberFormat="1" applyFill="1" applyBorder="1"/>
    <xf numFmtId="0" fontId="0" fillId="4" borderId="0" xfId="0" applyFill="1" applyAlignment="1">
      <alignment horizontal="center"/>
    </xf>
    <xf numFmtId="9" fontId="0" fillId="4" borderId="10" xfId="1" applyFont="1" applyFill="1" applyBorder="1"/>
    <xf numFmtId="9" fontId="0" fillId="4" borderId="11" xfId="1" applyFont="1" applyFill="1" applyBorder="1"/>
    <xf numFmtId="0" fontId="0" fillId="6" borderId="0" xfId="0" applyFill="1"/>
    <xf numFmtId="167" fontId="0" fillId="4" borderId="0" xfId="0" applyNumberFormat="1" applyFill="1" applyAlignment="1">
      <alignment horizontal="left"/>
    </xf>
    <xf numFmtId="0" fontId="0" fillId="4" borderId="12" xfId="0" applyFill="1" applyBorder="1" applyAlignment="1">
      <alignment horizontal="right" vertical="center"/>
    </xf>
    <xf numFmtId="0" fontId="0" fillId="4" borderId="9" xfId="0" applyFill="1" applyBorder="1" applyAlignment="1">
      <alignment horizontal="left" vertical="center"/>
    </xf>
    <xf numFmtId="165" fontId="0" fillId="4" borderId="0" xfId="1" applyNumberFormat="1" applyFont="1" applyFill="1" applyBorder="1" applyAlignment="1">
      <alignment horizontal="left"/>
    </xf>
    <xf numFmtId="169" fontId="0" fillId="4" borderId="0" xfId="0" applyNumberFormat="1" applyFill="1"/>
    <xf numFmtId="0" fontId="2" fillId="4" borderId="0" xfId="0" applyFont="1" applyFill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167" fontId="0" fillId="4" borderId="0" xfId="2" applyNumberFormat="1" applyFont="1" applyFill="1" applyAlignment="1">
      <alignment horizontal="right"/>
    </xf>
    <xf numFmtId="167" fontId="0" fillId="4" borderId="0" xfId="2" applyNumberFormat="1" applyFont="1" applyFill="1"/>
    <xf numFmtId="167" fontId="0" fillId="4" borderId="0" xfId="1" applyNumberFormat="1" applyFont="1" applyFill="1"/>
    <xf numFmtId="167" fontId="0" fillId="4" borderId="3" xfId="1" applyNumberFormat="1" applyFont="1" applyFill="1" applyBorder="1" applyAlignment="1">
      <alignment horizontal="left"/>
    </xf>
    <xf numFmtId="167" fontId="0" fillId="4" borderId="3" xfId="0" applyNumberFormat="1" applyFill="1" applyBorder="1" applyAlignment="1">
      <alignment horizontal="left"/>
    </xf>
    <xf numFmtId="0" fontId="0" fillId="4" borderId="1" xfId="0" applyFill="1" applyBorder="1"/>
    <xf numFmtId="164" fontId="0" fillId="4" borderId="10" xfId="0" applyNumberFormat="1" applyFill="1" applyBorder="1" applyAlignment="1">
      <alignment horizontal="center"/>
    </xf>
    <xf numFmtId="168" fontId="0" fillId="4" borderId="9" xfId="0" applyNumberFormat="1" applyFill="1" applyBorder="1" applyAlignment="1">
      <alignment horizontal="center"/>
    </xf>
    <xf numFmtId="9" fontId="0" fillId="4" borderId="10" xfId="1" applyFont="1" applyFill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8" fontId="0" fillId="4" borderId="5" xfId="0" applyNumberFormat="1" applyFill="1" applyBorder="1" applyAlignment="1">
      <alignment horizontal="center"/>
    </xf>
    <xf numFmtId="9" fontId="0" fillId="4" borderId="11" xfId="1" applyFont="1" applyFill="1" applyBorder="1" applyAlignment="1">
      <alignment horizontal="center"/>
    </xf>
    <xf numFmtId="168" fontId="0" fillId="4" borderId="10" xfId="0" applyNumberFormat="1" applyFill="1" applyBorder="1" applyAlignment="1">
      <alignment horizontal="center"/>
    </xf>
    <xf numFmtId="168" fontId="0" fillId="4" borderId="11" xfId="0" applyNumberForma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164" fontId="0" fillId="4" borderId="1" xfId="0" applyNumberFormat="1" applyFill="1" applyBorder="1" applyAlignment="1">
      <alignment horizontal="left"/>
    </xf>
    <xf numFmtId="165" fontId="0" fillId="4" borderId="0" xfId="1" applyNumberFormat="1" applyFont="1" applyFill="1" applyAlignment="1">
      <alignment horizontal="left"/>
    </xf>
    <xf numFmtId="165" fontId="0" fillId="4" borderId="10" xfId="1" applyNumberFormat="1" applyFont="1" applyFill="1" applyBorder="1" applyAlignment="1">
      <alignment horizontal="center"/>
    </xf>
    <xf numFmtId="165" fontId="0" fillId="4" borderId="11" xfId="1" applyNumberFormat="1" applyFon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right"/>
    </xf>
    <xf numFmtId="0" fontId="0" fillId="4" borderId="3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65" fontId="0" fillId="4" borderId="3" xfId="1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13" xfId="0" applyFill="1" applyBorder="1"/>
    <xf numFmtId="0" fontId="7" fillId="4" borderId="0" xfId="0" applyFont="1" applyFill="1" applyAlignment="1">
      <alignment horizontal="center"/>
    </xf>
    <xf numFmtId="2" fontId="7" fillId="4" borderId="0" xfId="0" applyNumberFormat="1" applyFont="1" applyFill="1" applyAlignment="1">
      <alignment horizontal="center"/>
    </xf>
    <xf numFmtId="0" fontId="9" fillId="4" borderId="0" xfId="0" applyFont="1" applyFill="1"/>
    <xf numFmtId="2" fontId="9" fillId="4" borderId="0" xfId="0" applyNumberFormat="1" applyFont="1" applyFill="1" applyAlignment="1">
      <alignment horizontal="right"/>
    </xf>
    <xf numFmtId="166" fontId="9" fillId="4" borderId="0" xfId="2" applyNumberFormat="1" applyFont="1" applyFill="1" applyAlignment="1">
      <alignment horizontal="left"/>
    </xf>
    <xf numFmtId="0" fontId="9" fillId="4" borderId="0" xfId="0" applyFont="1" applyFill="1" applyAlignment="1">
      <alignment horizontal="right"/>
    </xf>
    <xf numFmtId="166" fontId="9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right"/>
    </xf>
    <xf numFmtId="10" fontId="8" fillId="4" borderId="0" xfId="1" applyNumberFormat="1" applyFont="1" applyFill="1" applyAlignment="1">
      <alignment horizontal="left"/>
    </xf>
    <xf numFmtId="2" fontId="9" fillId="4" borderId="0" xfId="0" applyNumberFormat="1" applyFont="1" applyFill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0" xfId="0" applyNumberFormat="1"/>
    <xf numFmtId="164" fontId="0" fillId="0" borderId="0" xfId="1" applyNumberFormat="1" applyFont="1"/>
    <xf numFmtId="0" fontId="0" fillId="0" borderId="0" xfId="0" applyAlignment="1">
      <alignment horizontal="right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6" xfId="0" applyBorder="1" applyAlignment="1">
      <alignment horizontal="righ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right"/>
    </xf>
    <xf numFmtId="0" fontId="0" fillId="0" borderId="7" xfId="0" applyBorder="1" applyAlignment="1">
      <alignment horizontal="lef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left"/>
    </xf>
    <xf numFmtId="165" fontId="0" fillId="0" borderId="3" xfId="1" applyNumberFormat="1" applyFont="1" applyFill="1" applyBorder="1" applyAlignment="1">
      <alignment horizontal="left"/>
    </xf>
    <xf numFmtId="167" fontId="0" fillId="0" borderId="0" xfId="0" applyNumberFormat="1"/>
    <xf numFmtId="165" fontId="0" fillId="0" borderId="0" xfId="1" applyNumberFormat="1" applyFont="1"/>
    <xf numFmtId="0" fontId="1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2" xfId="0" applyBorder="1" applyAlignment="1">
      <alignment horizontal="center"/>
    </xf>
    <xf numFmtId="0" fontId="0" fillId="0" borderId="9" xfId="0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6" xfId="0" applyFon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5" fontId="0" fillId="0" borderId="23" xfId="1" applyNumberFormat="1" applyFont="1" applyBorder="1" applyAlignment="1">
      <alignment horizontal="center"/>
    </xf>
    <xf numFmtId="0" fontId="2" fillId="0" borderId="0" xfId="0" applyFont="1"/>
    <xf numFmtId="0" fontId="1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12" fillId="0" borderId="0" xfId="0" applyNumberFormat="1" applyFont="1" applyAlignment="1">
      <alignment horizontal="center"/>
    </xf>
    <xf numFmtId="164" fontId="0" fillId="0" borderId="23" xfId="0" applyNumberFormat="1" applyBorder="1" applyAlignment="1">
      <alignment horizontal="center"/>
    </xf>
    <xf numFmtId="0" fontId="11" fillId="0" borderId="2" xfId="0" applyFont="1" applyBorder="1" applyAlignment="1">
      <alignment horizontal="right"/>
    </xf>
    <xf numFmtId="0" fontId="0" fillId="0" borderId="9" xfId="0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0" fontId="4" fillId="0" borderId="2" xfId="0" applyFont="1" applyBorder="1" applyAlignment="1">
      <alignment horizontal="right" vertical="center"/>
    </xf>
    <xf numFmtId="0" fontId="4" fillId="0" borderId="6" xfId="0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4" fillId="0" borderId="4" xfId="0" applyFont="1" applyBorder="1" applyAlignment="1">
      <alignment horizontal="right"/>
    </xf>
    <xf numFmtId="0" fontId="0" fillId="0" borderId="12" xfId="0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167" fontId="0" fillId="0" borderId="0" xfId="0" applyNumberFormat="1" applyAlignment="1">
      <alignment horizontal="center"/>
    </xf>
    <xf numFmtId="167" fontId="0" fillId="0" borderId="0" xfId="1" applyNumberFormat="1" applyFont="1" applyFill="1"/>
    <xf numFmtId="167" fontId="0" fillId="0" borderId="0" xfId="2" applyNumberFormat="1" applyFont="1" applyFill="1"/>
    <xf numFmtId="0" fontId="0" fillId="0" borderId="13" xfId="0" applyBorder="1"/>
    <xf numFmtId="167" fontId="0" fillId="0" borderId="0" xfId="1" applyNumberFormat="1" applyFont="1" applyFill="1" applyAlignment="1">
      <alignment horizontal="center"/>
    </xf>
    <xf numFmtId="167" fontId="0" fillId="0" borderId="0" xfId="2" applyNumberFormat="1" applyFont="1" applyFill="1" applyAlignment="1">
      <alignment horizontal="center"/>
    </xf>
    <xf numFmtId="0" fontId="0" fillId="0" borderId="25" xfId="0" applyBorder="1" applyAlignment="1">
      <alignment horizontal="right" vertical="center"/>
    </xf>
    <xf numFmtId="0" fontId="0" fillId="0" borderId="26" xfId="0" applyBorder="1" applyAlignment="1">
      <alignment horizontal="left" vertical="center"/>
    </xf>
    <xf numFmtId="0" fontId="0" fillId="0" borderId="0" xfId="0" applyAlignment="1">
      <alignment horizontal="left"/>
    </xf>
    <xf numFmtId="165" fontId="0" fillId="0" borderId="0" xfId="1" applyNumberFormat="1" applyFont="1" applyFill="1" applyBorder="1" applyAlignment="1">
      <alignment horizontal="left"/>
    </xf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165" fontId="0" fillId="6" borderId="0" xfId="1" applyNumberFormat="1" applyFont="1" applyFill="1" applyBorder="1" applyAlignment="1">
      <alignment horizontal="left"/>
    </xf>
    <xf numFmtId="164" fontId="0" fillId="6" borderId="0" xfId="0" applyNumberFormat="1" applyFill="1" applyAlignment="1">
      <alignment horizontal="center" vertical="center"/>
    </xf>
    <xf numFmtId="164" fontId="0" fillId="4" borderId="0" xfId="0" applyNumberFormat="1" applyFill="1"/>
    <xf numFmtId="170" fontId="0" fillId="0" borderId="0" xfId="1" applyNumberFormat="1" applyFont="1" applyFill="1"/>
    <xf numFmtId="165" fontId="0" fillId="0" borderId="0" xfId="1" applyNumberFormat="1" applyFont="1" applyAlignment="1">
      <alignment horizontal="left"/>
    </xf>
    <xf numFmtId="165" fontId="0" fillId="0" borderId="0" xfId="1" applyNumberFormat="1" applyFont="1" applyFill="1" applyAlignment="1">
      <alignment horizontal="left"/>
    </xf>
    <xf numFmtId="165" fontId="0" fillId="0" borderId="0" xfId="0" applyNumberFormat="1"/>
    <xf numFmtId="10" fontId="0" fillId="0" borderId="0" xfId="0" applyNumberFormat="1"/>
    <xf numFmtId="165" fontId="0" fillId="0" borderId="0" xfId="0" applyNumberFormat="1" applyAlignment="1">
      <alignment horizontal="left"/>
    </xf>
    <xf numFmtId="10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7" xfId="0" applyBorder="1" applyAlignment="1">
      <alignment horizontal="center"/>
    </xf>
    <xf numFmtId="165" fontId="0" fillId="0" borderId="23" xfId="1" applyNumberFormat="1" applyFont="1" applyFill="1" applyBorder="1" applyAlignment="1">
      <alignment horizontal="center"/>
    </xf>
    <xf numFmtId="165" fontId="0" fillId="0" borderId="5" xfId="1" applyNumberFormat="1" applyFont="1" applyFill="1" applyBorder="1" applyAlignment="1">
      <alignment horizontal="center"/>
    </xf>
    <xf numFmtId="2" fontId="0" fillId="0" borderId="0" xfId="0" applyNumberFormat="1"/>
    <xf numFmtId="165" fontId="0" fillId="0" borderId="0" xfId="1" applyNumberFormat="1" applyFont="1" applyFill="1" applyBorder="1" applyAlignment="1">
      <alignment horizontal="center"/>
    </xf>
    <xf numFmtId="165" fontId="0" fillId="0" borderId="3" xfId="1" applyNumberFormat="1" applyFont="1" applyFill="1" applyBorder="1" applyAlignment="1">
      <alignment horizontal="center"/>
    </xf>
    <xf numFmtId="165" fontId="0" fillId="0" borderId="14" xfId="1" applyNumberFormat="1" applyFont="1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5" xfId="0" applyBorder="1"/>
    <xf numFmtId="0" fontId="0" fillId="0" borderId="9" xfId="0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0" fillId="0" borderId="23" xfId="0" applyBorder="1"/>
    <xf numFmtId="164" fontId="0" fillId="0" borderId="12" xfId="0" applyNumberFormat="1" applyBorder="1" applyAlignment="1">
      <alignment horizontal="center" vertical="center"/>
    </xf>
    <xf numFmtId="165" fontId="0" fillId="0" borderId="0" xfId="1" applyNumberFormat="1" applyFont="1" applyFill="1" applyAlignment="1">
      <alignment horizontal="center"/>
    </xf>
    <xf numFmtId="165" fontId="0" fillId="0" borderId="9" xfId="1" applyNumberFormat="1" applyFont="1" applyFill="1" applyBorder="1" applyAlignment="1">
      <alignment horizontal="center" vertical="center"/>
    </xf>
    <xf numFmtId="165" fontId="0" fillId="0" borderId="12" xfId="1" applyNumberFormat="1" applyFont="1" applyBorder="1" applyAlignment="1">
      <alignment horizontal="center" vertical="center"/>
    </xf>
    <xf numFmtId="165" fontId="0" fillId="0" borderId="12" xfId="1" applyNumberFormat="1" applyFont="1" applyFill="1" applyBorder="1" applyAlignment="1">
      <alignment horizontal="center" vertical="center"/>
    </xf>
    <xf numFmtId="0" fontId="0" fillId="6" borderId="12" xfId="0" applyFill="1" applyBorder="1"/>
    <xf numFmtId="0" fontId="0" fillId="0" borderId="3" xfId="1" applyNumberFormat="1" applyFont="1" applyFill="1" applyBorder="1" applyAlignment="1">
      <alignment horizontal="left"/>
    </xf>
    <xf numFmtId="0" fontId="0" fillId="0" borderId="0" xfId="0" applyAlignment="1">
      <alignment horizontal="right" vertical="center"/>
    </xf>
    <xf numFmtId="166" fontId="0" fillId="0" borderId="0" xfId="1" applyNumberFormat="1" applyFont="1" applyFill="1" applyAlignment="1">
      <alignment horizontal="left"/>
    </xf>
    <xf numFmtId="167" fontId="0" fillId="0" borderId="0" xfId="0" applyNumberFormat="1" applyAlignment="1">
      <alignment horizontal="left"/>
    </xf>
    <xf numFmtId="0" fontId="0" fillId="0" borderId="14" xfId="0" applyBorder="1" applyAlignment="1">
      <alignment horizontal="right"/>
    </xf>
    <xf numFmtId="1" fontId="0" fillId="0" borderId="0" xfId="0" applyNumberFormat="1" applyAlignment="1">
      <alignment horizontal="left"/>
    </xf>
    <xf numFmtId="9" fontId="0" fillId="0" borderId="0" xfId="1" applyFont="1" applyFill="1"/>
    <xf numFmtId="167" fontId="0" fillId="0" borderId="0" xfId="0" applyNumberFormat="1" applyAlignment="1">
      <alignment horizontal="right"/>
    </xf>
    <xf numFmtId="0" fontId="0" fillId="3" borderId="0" xfId="0" applyFill="1" applyAlignment="1">
      <alignment horizontal="right"/>
    </xf>
    <xf numFmtId="165" fontId="0" fillId="3" borderId="0" xfId="1" applyNumberFormat="1" applyFont="1" applyFill="1"/>
    <xf numFmtId="9" fontId="0" fillId="0" borderId="0" xfId="1" applyFont="1" applyFill="1" applyAlignment="1">
      <alignment horizontal="left"/>
    </xf>
    <xf numFmtId="166" fontId="0" fillId="4" borderId="0" xfId="0" applyNumberFormat="1" applyFill="1" applyAlignment="1">
      <alignment horizontal="left"/>
    </xf>
    <xf numFmtId="0" fontId="0" fillId="0" borderId="24" xfId="0" applyBorder="1" applyAlignment="1">
      <alignment horizontal="right"/>
    </xf>
    <xf numFmtId="171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28" xfId="0" applyBorder="1" applyAlignment="1">
      <alignment wrapText="1"/>
    </xf>
    <xf numFmtId="0" fontId="0" fillId="0" borderId="28" xfId="0" applyBorder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165" fontId="0" fillId="0" borderId="0" xfId="1" applyNumberFormat="1" applyFont="1" applyFill="1"/>
    <xf numFmtId="2" fontId="0" fillId="0" borderId="0" xfId="1" applyNumberFormat="1" applyFont="1" applyFill="1" applyAlignment="1">
      <alignment horizontal="left"/>
    </xf>
    <xf numFmtId="2" fontId="0" fillId="0" borderId="0" xfId="1" applyNumberFormat="1" applyFont="1" applyFill="1" applyBorder="1" applyAlignment="1">
      <alignment horizontal="left"/>
    </xf>
    <xf numFmtId="164" fontId="0" fillId="0" borderId="0" xfId="0" applyNumberFormat="1" applyAlignment="1">
      <alignment horizontal="left" vertical="center"/>
    </xf>
    <xf numFmtId="0" fontId="2" fillId="0" borderId="0" xfId="0" applyFont="1" applyAlignment="1">
      <alignment horizontal="left"/>
    </xf>
    <xf numFmtId="0" fontId="0" fillId="3" borderId="0" xfId="0" applyFill="1" applyAlignment="1">
      <alignment horizontal="center" vertical="center"/>
    </xf>
    <xf numFmtId="0" fontId="10" fillId="4" borderId="21" xfId="0" applyFont="1" applyFill="1" applyBorder="1" applyAlignment="1">
      <alignment horizontal="center" vertical="center"/>
    </xf>
    <xf numFmtId="0" fontId="10" fillId="4" borderId="15" xfId="0" applyFont="1" applyFill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4" borderId="19" xfId="0" applyFont="1" applyFill="1" applyBorder="1" applyAlignment="1">
      <alignment horizontal="center" vertical="center"/>
    </xf>
    <xf numFmtId="0" fontId="10" fillId="4" borderId="22" xfId="0" applyFont="1" applyFill="1" applyBorder="1" applyAlignment="1">
      <alignment horizontal="center" vertical="center"/>
    </xf>
    <xf numFmtId="0" fontId="10" fillId="4" borderId="17" xfId="0" applyFont="1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/>
    </xf>
    <xf numFmtId="0" fontId="0" fillId="4" borderId="1" xfId="0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8" fillId="4" borderId="0" xfId="0" applyFont="1" applyFill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14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4" xfId="0" applyBorder="1" applyAlignment="1">
      <alignment horizontal="right"/>
    </xf>
    <xf numFmtId="0" fontId="0" fillId="0" borderId="23" xfId="0" applyBorder="1" applyAlignment="1">
      <alignment horizontal="right"/>
    </xf>
    <xf numFmtId="164" fontId="0" fillId="0" borderId="12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23" xfId="0" applyBorder="1" applyAlignment="1">
      <alignment horizontal="center"/>
    </xf>
    <xf numFmtId="2" fontId="2" fillId="0" borderId="28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14" fillId="3" borderId="0" xfId="0" applyFont="1" applyFill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6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rgb="FFFF9D9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rgb="FFFF848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A7A7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rgb="FFFFA7A7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rgb="FFFF848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rgb="FFFF848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rgb="FFFFA7A7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A7A7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rgb="FFFFA7A7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rgb="FFFF848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rgb="FFFF848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rgb="FFFF848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rgb="FFFF8481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FFA7A7"/>
      <color rgb="FFFFF7F7"/>
      <color rgb="FFFD8B8B"/>
      <color rgb="FFFE9C9C"/>
      <color rgb="FFFD8383"/>
      <color rgb="FFFF9797"/>
      <color rgb="FFFF8481"/>
      <color rgb="FFFF9F9F"/>
      <color rgb="FFFF9D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Sensibilidad!$K$1</c:f>
              <c:strCache>
                <c:ptCount val="1"/>
                <c:pt idx="0">
                  <c:v>Beneficios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Sensibilidad!$H$2:$H$7</c:f>
              <c:numCache>
                <c:formatCode>General</c:formatCode>
                <c:ptCount val="6"/>
                <c:pt idx="0" formatCode="0.0">
                  <c:v>1.0009999999999999</c:v>
                </c:pt>
                <c:pt idx="1">
                  <c:v>1.5</c:v>
                </c:pt>
                <c:pt idx="2" formatCode="0.0">
                  <c:v>2</c:v>
                </c:pt>
                <c:pt idx="3">
                  <c:v>2.5</c:v>
                </c:pt>
                <c:pt idx="4" formatCode="0.0">
                  <c:v>3</c:v>
                </c:pt>
                <c:pt idx="5">
                  <c:v>3.5</c:v>
                </c:pt>
              </c:numCache>
            </c:numRef>
          </c:xVal>
          <c:yVal>
            <c:numRef>
              <c:f>Sensibilidad!$K$2:$K$7</c:f>
              <c:numCache>
                <c:formatCode>"$"\ #,##0.0;\-"$"\ #,##0.0</c:formatCode>
                <c:ptCount val="6"/>
                <c:pt idx="0">
                  <c:v>12.490201911896378</c:v>
                </c:pt>
                <c:pt idx="1">
                  <c:v>3.8393539310093772</c:v>
                </c:pt>
                <c:pt idx="2">
                  <c:v>1.6058809055977403</c:v>
                </c:pt>
                <c:pt idx="3">
                  <c:v>0.76803070684473829</c:v>
                </c:pt>
                <c:pt idx="4">
                  <c:v>0.38954208927827749</c:v>
                </c:pt>
                <c:pt idx="5">
                  <c:v>0.20157942648692773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1F-40EC-BC55-3818FE93A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055679"/>
        <c:axId val="861055199"/>
      </c:scatterChart>
      <c:valAx>
        <c:axId val="861055679"/>
        <c:scaling>
          <c:orientation val="minMax"/>
          <c:max val="3"/>
          <c:min val="1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61055199"/>
        <c:crosses val="autoZero"/>
        <c:crossBetween val="midCat"/>
      </c:valAx>
      <c:valAx>
        <c:axId val="861055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;\-&quot;$&quot;\ #,##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610556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Sensibilidad!$K$11</c:f>
              <c:strCache>
                <c:ptCount val="1"/>
                <c:pt idx="0">
                  <c:v>Beneficios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Sensibilidad!$H$12:$H$17</c:f>
              <c:numCache>
                <c:formatCode>0%</c:formatCode>
                <c:ptCount val="6"/>
                <c:pt idx="0">
                  <c:v>0</c:v>
                </c:pt>
                <c:pt idx="1">
                  <c:v>0.03</c:v>
                </c:pt>
                <c:pt idx="2">
                  <c:v>0.105</c:v>
                </c:pt>
                <c:pt idx="3">
                  <c:v>0.21</c:v>
                </c:pt>
                <c:pt idx="4">
                  <c:v>0.35</c:v>
                </c:pt>
                <c:pt idx="5">
                  <c:v>0.5</c:v>
                </c:pt>
              </c:numCache>
            </c:numRef>
          </c:cat>
          <c:val>
            <c:numRef>
              <c:f>Sensibilidad!$K$12:$K$17</c:f>
              <c:numCache>
                <c:formatCode>"$"\ #,##0.0;\-"$"\ #,##0.0</c:formatCode>
                <c:ptCount val="6"/>
                <c:pt idx="0">
                  <c:v>2.312327438436939</c:v>
                </c:pt>
                <c:pt idx="1">
                  <c:v>2.1886808065667736</c:v>
                </c:pt>
                <c:pt idx="2">
                  <c:v>1.9162251239559369</c:v>
                </c:pt>
                <c:pt idx="3">
                  <c:v>1.6058809055977403</c:v>
                </c:pt>
                <c:pt idx="4">
                  <c:v>1.2872713176369439</c:v>
                </c:pt>
                <c:pt idx="5">
                  <c:v>1.0312830123906851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37-4809-818E-BCAA7D242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0077327"/>
        <c:axId val="1350081647"/>
      </c:lineChart>
      <c:catAx>
        <c:axId val="1350077327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0081647"/>
        <c:crosses val="autoZero"/>
        <c:auto val="1"/>
        <c:lblAlgn val="ctr"/>
        <c:lblOffset val="100"/>
        <c:noMultiLvlLbl val="0"/>
      </c:catAx>
      <c:valAx>
        <c:axId val="135008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;\-&quot;$&quot;\ 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0077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Sensibilidad!$K$21</c:f>
              <c:strCache>
                <c:ptCount val="1"/>
                <c:pt idx="0">
                  <c:v>Beneficios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Sensibilidad!$H$22:$H$27</c:f>
              <c:numCache>
                <c:formatCode>0.0</c:formatCode>
                <c:ptCount val="6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</c:numCache>
            </c:numRef>
          </c:cat>
          <c:val>
            <c:numRef>
              <c:f>Sensibilidad!$K$22:$K$27</c:f>
              <c:numCache>
                <c:formatCode>"$"\ #,##0.0;\-"$"\ #,##0.0</c:formatCode>
                <c:ptCount val="6"/>
                <c:pt idx="0">
                  <c:v>0.25427398014158942</c:v>
                </c:pt>
                <c:pt idx="1">
                  <c:v>0.4222007934957912</c:v>
                </c:pt>
                <c:pt idx="2">
                  <c:v>0.5966140164178042</c:v>
                </c:pt>
                <c:pt idx="3">
                  <c:v>0.77154917337976081</c:v>
                </c:pt>
                <c:pt idx="4">
                  <c:v>0.94459336087785806</c:v>
                </c:pt>
                <c:pt idx="5">
                  <c:v>1.1147739790699913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F4-4C83-B9E6-A4234E6CC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01215"/>
        <c:axId val="1351401695"/>
      </c:lineChart>
      <c:catAx>
        <c:axId val="1351401215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1401695"/>
        <c:crosses val="autoZero"/>
        <c:auto val="1"/>
        <c:lblAlgn val="ctr"/>
        <c:lblOffset val="100"/>
        <c:noMultiLvlLbl val="0"/>
      </c:catAx>
      <c:valAx>
        <c:axId val="1351401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;\-&quot;$&quot;\ 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1401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Sensibilidad!$V$1</c:f>
              <c:strCache>
                <c:ptCount val="1"/>
                <c:pt idx="0">
                  <c:v>Beneficios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Sensibilidad!$S$2:$S$7</c:f>
              <c:numCache>
                <c:formatCode>General</c:formatCode>
                <c:ptCount val="6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</c:numCache>
            </c:numRef>
          </c:cat>
          <c:val>
            <c:numRef>
              <c:f>Sensibilidad!$V$2:$V$7</c:f>
              <c:numCache>
                <c:formatCode>"$"\ #,##0.0;\-"$"\ #,##0.0</c:formatCode>
                <c:ptCount val="6"/>
                <c:pt idx="0">
                  <c:v>1.6058809055977403</c:v>
                </c:pt>
                <c:pt idx="1">
                  <c:v>1.55623425312747</c:v>
                </c:pt>
                <c:pt idx="2">
                  <c:v>1.5101603269660517</c:v>
                </c:pt>
                <c:pt idx="3">
                  <c:v>1.4738048508289299</c:v>
                </c:pt>
                <c:pt idx="4">
                  <c:v>1.4440985671077824</c:v>
                </c:pt>
                <c:pt idx="5">
                  <c:v>1.4190462285806507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7C-4182-8A19-6BB264C31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6247951"/>
        <c:axId val="1076246511"/>
      </c:lineChart>
      <c:catAx>
        <c:axId val="1076247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6246511"/>
        <c:crosses val="autoZero"/>
        <c:auto val="1"/>
        <c:lblAlgn val="ctr"/>
        <c:lblOffset val="100"/>
        <c:noMultiLvlLbl val="0"/>
      </c:catAx>
      <c:valAx>
        <c:axId val="107624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;\-&quot;$&quot;\ 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624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Sensibilidad!$V$11</c:f>
              <c:strCache>
                <c:ptCount val="1"/>
                <c:pt idx="0">
                  <c:v>Beneficios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Sensibilidad!$S$12:$S$17</c:f>
              <c:numCache>
                <c:formatCode>General</c:formatCode>
                <c:ptCount val="6"/>
                <c:pt idx="0" formatCode="0.0">
                  <c:v>0</c:v>
                </c:pt>
                <c:pt idx="1">
                  <c:v>0.25</c:v>
                </c:pt>
                <c:pt idx="2" formatCode="0.0">
                  <c:v>0.5</c:v>
                </c:pt>
                <c:pt idx="3">
                  <c:v>0.75</c:v>
                </c:pt>
                <c:pt idx="4" formatCode="0.0">
                  <c:v>1</c:v>
                </c:pt>
                <c:pt idx="5">
                  <c:v>1.25</c:v>
                </c:pt>
              </c:numCache>
            </c:numRef>
          </c:cat>
          <c:val>
            <c:numRef>
              <c:f>Sensibilidad!$V$12:$V$17</c:f>
              <c:numCache>
                <c:formatCode>"$"\ #,##0.0;\-"$"\ #,##0.0</c:formatCode>
                <c:ptCount val="6"/>
                <c:pt idx="0">
                  <c:v>1.6058809055977403</c:v>
                </c:pt>
                <c:pt idx="1">
                  <c:v>1.6705544706523741</c:v>
                </c:pt>
                <c:pt idx="2">
                  <c:v>1.7511136279342039</c:v>
                </c:pt>
                <c:pt idx="3">
                  <c:v>1.8531028073374265</c:v>
                </c:pt>
                <c:pt idx="4">
                  <c:v>1.9839164302821177</c:v>
                </c:pt>
                <c:pt idx="5">
                  <c:v>2.1531152641072149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2C-4F27-AEA8-6A0907203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03135"/>
        <c:axId val="1351404575"/>
      </c:lineChart>
      <c:catAx>
        <c:axId val="1351403135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1404575"/>
        <c:crosses val="autoZero"/>
        <c:auto val="1"/>
        <c:lblAlgn val="ctr"/>
        <c:lblOffset val="100"/>
        <c:noMultiLvlLbl val="0"/>
      </c:catAx>
      <c:valAx>
        <c:axId val="1351404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;\-&quot;$&quot;\ 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14031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Sensibilidad!$V$21</c:f>
              <c:strCache>
                <c:ptCount val="1"/>
                <c:pt idx="0">
                  <c:v>Beneficios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Sensibilidad!$S$22:$S$27</c:f>
              <c:numCache>
                <c:formatCode>0.0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Sensibilidad!$V$22:$V$27</c:f>
              <c:numCache>
                <c:formatCode>"$"\ #,##0.0;\-"$"\ #,##0.0</c:formatCode>
                <c:ptCount val="6"/>
                <c:pt idx="0">
                  <c:v>2.5438087545083983</c:v>
                </c:pt>
                <c:pt idx="1">
                  <c:v>1.6058809055977403</c:v>
                </c:pt>
                <c:pt idx="2">
                  <c:v>0.97664331540954796</c:v>
                </c:pt>
                <c:pt idx="3">
                  <c:v>0.61512113162020432</c:v>
                </c:pt>
                <c:pt idx="4">
                  <c:v>0.43008591734316992</c:v>
                </c:pt>
                <c:pt idx="5">
                  <c:v>0.33338426405350319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E7-4EC9-84EC-AD03460D5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6901695"/>
        <c:axId val="1486906015"/>
      </c:lineChart>
      <c:catAx>
        <c:axId val="1486901695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486906015"/>
        <c:crosses val="autoZero"/>
        <c:auto val="1"/>
        <c:lblAlgn val="ctr"/>
        <c:lblOffset val="100"/>
        <c:noMultiLvlLbl val="0"/>
      </c:catAx>
      <c:valAx>
        <c:axId val="148690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;\-&quot;$&quot;\ 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486901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Sensibilidad!$AG$1</c:f>
              <c:strCache>
                <c:ptCount val="1"/>
                <c:pt idx="0">
                  <c:v>Beneficios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Sensibilidad!$AD$2:$AD$7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</c:numCache>
            </c:numRef>
          </c:xVal>
          <c:yVal>
            <c:numRef>
              <c:f>Sensibilidad!$AG$2:$AG$7</c:f>
              <c:numCache>
                <c:formatCode>"$"\ #,##0.0;\-"$"\ #,##0.0</c:formatCode>
                <c:ptCount val="6"/>
                <c:pt idx="0">
                  <c:v>6.091146264596059</c:v>
                </c:pt>
                <c:pt idx="1">
                  <c:v>3.285617318866942</c:v>
                </c:pt>
                <c:pt idx="2">
                  <c:v>2.1858426205825809</c:v>
                </c:pt>
                <c:pt idx="3">
                  <c:v>1.6058809055977403</c:v>
                </c:pt>
                <c:pt idx="4">
                  <c:v>1.247820044743094</c:v>
                </c:pt>
                <c:pt idx="5">
                  <c:v>0.51640301398734212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7F-442C-A892-61E6228FF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177103"/>
        <c:axId val="1387180943"/>
      </c:scatterChart>
      <c:valAx>
        <c:axId val="1387177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87180943"/>
        <c:crosses val="autoZero"/>
        <c:crossBetween val="midCat"/>
      </c:valAx>
      <c:valAx>
        <c:axId val="1387180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;\-&quot;$&quot;\ #,##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87177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DAA-4C2F-BA0B-CB161D01863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DAA-4C2F-BA0B-CB161D01863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209E2BE-0270-4C87-A3D7-86D6B7F640F5}" type="CELLRANGE">
                      <a:rPr lang="en-US" b="1">
                        <a:solidFill>
                          <a:schemeClr val="accent1"/>
                        </a:solidFill>
                      </a:rPr>
                      <a:pPr/>
                      <a:t>[CELLRANGE]</a:t>
                    </a:fld>
                    <a:endParaRPr lang="es-A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DAA-4C2F-BA0B-CB161D01863A}"/>
                </c:ext>
              </c:extLst>
            </c:dLbl>
            <c:dLbl>
              <c:idx val="1"/>
              <c:layout>
                <c:manualLayout>
                  <c:x val="-0.29287178719526014"/>
                  <c:y val="-1.9325143554457828E-17"/>
                </c:manualLayout>
              </c:layout>
              <c:tx>
                <c:rich>
                  <a:bodyPr/>
                  <a:lstStyle/>
                  <a:p>
                    <a:fld id="{C22DF69F-0880-48A2-8766-C37EE2A8057C}" type="CELLRANGE">
                      <a:rPr lang="en-US" b="1">
                        <a:solidFill>
                          <a:srgbClr val="FF0000"/>
                        </a:solidFill>
                      </a:rPr>
                      <a:pPr/>
                      <a:t>[CELLRANGE]</a:t>
                    </a:fld>
                    <a:endParaRPr lang="es-A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DAA-4C2F-BA0B-CB161D0186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63DF82-9F84-49D2-BD48-DA248A68422F}" type="CELLRANGE">
                      <a:rPr lang="en-US">
                        <a:solidFill>
                          <a:srgbClr val="FF0000"/>
                        </a:solidFill>
                      </a:rPr>
                      <a:pPr/>
                      <a:t>[CELLRANGE]</a:t>
                    </a:fld>
                    <a:endParaRPr lang="es-A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AA-4C2F-BA0B-CB161D0186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Horizontal!$B$12:$B$14</c:f>
              <c:numCache>
                <c:formatCode>0.0</c:formatCode>
                <c:ptCount val="3"/>
                <c:pt idx="0">
                  <c:v>10</c:v>
                </c:pt>
                <c:pt idx="1">
                  <c:v>1</c:v>
                </c:pt>
                <c:pt idx="2">
                  <c:v>5</c:v>
                </c:pt>
              </c:numCache>
            </c:numRef>
          </c:xVal>
          <c:yVal>
            <c:numRef>
              <c:f>Horizontal!$C$12:$C$14</c:f>
              <c:numCache>
                <c:formatCode>0.0</c:formatCode>
                <c:ptCount val="3"/>
                <c:pt idx="0">
                  <c:v>10</c:v>
                </c:pt>
                <c:pt idx="1">
                  <c:v>1</c:v>
                </c:pt>
                <c:pt idx="2">
                  <c:v>5</c:v>
                </c:pt>
              </c:numCache>
            </c:numRef>
          </c:yVal>
          <c:bubbleSize>
            <c:numRef>
              <c:f>Horizontal!$D$12:$D$14</c:f>
              <c:numCache>
                <c:formatCode>0.0</c:formatCode>
                <c:ptCount val="3"/>
                <c:pt idx="0">
                  <c:v>602.14636655346715</c:v>
                </c:pt>
                <c:pt idx="1">
                  <c:v>585.3754383007323</c:v>
                </c:pt>
                <c:pt idx="2">
                  <c:v>590.96944553958451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Horizontal!$A$12:$A$15</c15:f>
                <c15:dlblRangeCache>
                  <c:ptCount val="4"/>
                  <c:pt idx="0">
                    <c:v>Marca propia (X)</c:v>
                  </c:pt>
                  <c:pt idx="1">
                    <c:v>Competidor1 (Y)</c:v>
                  </c:pt>
                  <c:pt idx="2">
                    <c:v>Competidor2 (Z)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DAA-4C2F-BA0B-CB161D018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34308287"/>
        <c:axId val="134314527"/>
      </c:bubbleChart>
      <c:valAx>
        <c:axId val="134308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Caracteristica 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4314527"/>
        <c:crosses val="autoZero"/>
        <c:crossBetween val="midCat"/>
      </c:valAx>
      <c:valAx>
        <c:axId val="13431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Caracteristica 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430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1">
      <cx:tx>
        <cx:txData>
          <cx:v>Distribucion de beneficios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Distribucion de beneficios</a:t>
          </a:r>
        </a:p>
      </cx:txPr>
    </cx:title>
    <cx:plotArea>
      <cx:plotAreaRegion>
        <cx:series layoutId="clusteredColumn" uniqueId="{46D7D9C8-DA47-46A7-B8C3-124F5CD946D5}" formatIdx="0">
          <cx:tx>
            <cx:txData>
              <cx:f>_xlchart.v1.0</cx:f>
              <cx:v>Beneficio simulado</cx:v>
            </cx:txData>
          </cx:tx>
          <cx:dataId val="0"/>
          <cx:layoutPr>
            <cx:binning intervalClosed="r" overflow="13"/>
          </cx:layoutPr>
        </cx:series>
      </cx:plotAreaRegion>
      <cx:axis id="0">
        <cx:catScaling gapWidth="0"/>
        <cx:tickLabels/>
      </cx:axis>
      <cx:axis id="1">
        <cx:valScaling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iferenciacion!A1"/><Relationship Id="rId13" Type="http://schemas.openxmlformats.org/officeDocument/2006/relationships/hyperlink" Target="#Colusion!A1"/><Relationship Id="rId3" Type="http://schemas.openxmlformats.org/officeDocument/2006/relationships/hyperlink" Target="#'No lineales'!A1"/><Relationship Id="rId7" Type="http://schemas.openxmlformats.org/officeDocument/2006/relationships/hyperlink" Target="#Multiproducto!A1"/><Relationship Id="rId12" Type="http://schemas.openxmlformats.org/officeDocument/2006/relationships/hyperlink" Target="#Subastas!A1"/><Relationship Id="rId2" Type="http://schemas.openxmlformats.org/officeDocument/2006/relationships/hyperlink" Target="#Fusiones!A1"/><Relationship Id="rId1" Type="http://schemas.openxmlformats.org/officeDocument/2006/relationships/hyperlink" Target="#Lineales!A1"/><Relationship Id="rId6" Type="http://schemas.openxmlformats.org/officeDocument/2006/relationships/hyperlink" Target="#Riesgo!A1"/><Relationship Id="rId11" Type="http://schemas.openxmlformats.org/officeDocument/2006/relationships/hyperlink" Target="#'Rel. Vert.'!A1"/><Relationship Id="rId5" Type="http://schemas.openxmlformats.org/officeDocument/2006/relationships/hyperlink" Target="#Sensibilidad!A1"/><Relationship Id="rId15" Type="http://schemas.openxmlformats.org/officeDocument/2006/relationships/hyperlink" Target="#Limites!A1"/><Relationship Id="rId10" Type="http://schemas.openxmlformats.org/officeDocument/2006/relationships/hyperlink" Target="#Innovacion!A1"/><Relationship Id="rId4" Type="http://schemas.openxmlformats.org/officeDocument/2006/relationships/hyperlink" Target="#Discriminacion!A1"/><Relationship Id="rId9" Type="http://schemas.openxmlformats.org/officeDocument/2006/relationships/hyperlink" Target="#Plataformas!A1"/><Relationship Id="rId14" Type="http://schemas.openxmlformats.org/officeDocument/2006/relationships/hyperlink" Target="#Barrera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Inicio!A1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Bertand!A1"/><Relationship Id="rId2" Type="http://schemas.openxmlformats.org/officeDocument/2006/relationships/hyperlink" Target="#Cournot!A1"/><Relationship Id="rId1" Type="http://schemas.openxmlformats.org/officeDocument/2006/relationships/hyperlink" Target="#Inicio!A1"/><Relationship Id="rId4" Type="http://schemas.openxmlformats.org/officeDocument/2006/relationships/hyperlink" Target="#Efectos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Fusiones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Fusiones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Fusiones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Inicio!A1"/><Relationship Id="rId1" Type="http://schemas.microsoft.com/office/2014/relationships/chartEx" Target="../charts/chartEx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Vertical!A1"/><Relationship Id="rId2" Type="http://schemas.openxmlformats.org/officeDocument/2006/relationships/hyperlink" Target="#Horizontal!A1"/><Relationship Id="rId1" Type="http://schemas.openxmlformats.org/officeDocument/2006/relationships/hyperlink" Target="#Inicio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Diferenciacion!A1"/><Relationship Id="rId1" Type="http://schemas.openxmlformats.org/officeDocument/2006/relationships/chart" Target="../charts/chart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Diferenciacio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tegracion!A1"/><Relationship Id="rId2" Type="http://schemas.openxmlformats.org/officeDocument/2006/relationships/hyperlink" Target="#Franquicia!A1"/><Relationship Id="rId1" Type="http://schemas.openxmlformats.org/officeDocument/2006/relationships/hyperlink" Target="#Inicio!A1"/><Relationship Id="rId4" Type="http://schemas.openxmlformats.org/officeDocument/2006/relationships/hyperlink" Target="#Exclusividad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'Rel. Vert.'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'Rel. Vert.'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'Rel. Vert.'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750887</xdr:colOff>
      <xdr:row>4</xdr:row>
      <xdr:rowOff>68407</xdr:rowOff>
    </xdr:from>
    <xdr:to>
      <xdr:col>4</xdr:col>
      <xdr:colOff>222887</xdr:colOff>
      <xdr:row>7</xdr:row>
      <xdr:rowOff>125857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50887" y="820882"/>
          <a:ext cx="2520000" cy="628950"/>
          <a:chOff x="38100" y="781050"/>
          <a:chExt cx="2514600" cy="638175"/>
        </a:xfrm>
      </xdr:grpSpPr>
      <xdr:grpSp>
        <xdr:nvGrpSpPr>
          <xdr:cNvPr id="3" name="Grup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38100" y="781050"/>
            <a:ext cx="2514600" cy="638175"/>
            <a:chOff x="85725" y="771525"/>
            <a:chExt cx="1733550" cy="457200"/>
          </a:xfrm>
        </xdr:grpSpPr>
        <xdr:sp macro="" textlink="">
          <xdr:nvSpPr>
            <xdr:cNvPr id="5" name="Rectángulo: esquinas redondeadas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152400" y="866775"/>
              <a:ext cx="1590675" cy="2952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AR" sz="1200"/>
                <a:t>IMPUESTOS</a:t>
              </a:r>
            </a:p>
          </xdr:txBody>
        </xdr:sp>
      </xdr:grpSp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447675" y="1123951"/>
            <a:ext cx="16668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900">
                <a:solidFill>
                  <a:schemeClr val="tx1">
                    <a:lumMod val="75000"/>
                    <a:lumOff val="25000"/>
                  </a:schemeClr>
                </a:solidFill>
              </a:rPr>
              <a:t>Funciones lineales</a:t>
            </a:r>
          </a:p>
        </xdr:txBody>
      </xdr:sp>
    </xdr:grpSp>
    <xdr:clientData/>
  </xdr:twoCellAnchor>
  <xdr:twoCellAnchor>
    <xdr:from>
      <xdr:col>0</xdr:col>
      <xdr:colOff>752474</xdr:colOff>
      <xdr:row>18</xdr:row>
      <xdr:rowOff>154132</xdr:rowOff>
    </xdr:from>
    <xdr:to>
      <xdr:col>4</xdr:col>
      <xdr:colOff>209031</xdr:colOff>
      <xdr:row>22</xdr:row>
      <xdr:rowOff>21082</xdr:rowOff>
    </xdr:to>
    <xdr:grpSp>
      <xdr:nvGrpSpPr>
        <xdr:cNvPr id="7" name="Grup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752474" y="3573607"/>
          <a:ext cx="2504557" cy="628950"/>
          <a:chOff x="38100" y="781050"/>
          <a:chExt cx="2514600" cy="638175"/>
        </a:xfrm>
      </xdr:grpSpPr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38100" y="781050"/>
            <a:ext cx="2514600" cy="638175"/>
            <a:chOff x="85725" y="771525"/>
            <a:chExt cx="1733550" cy="457200"/>
          </a:xfrm>
        </xdr:grpSpPr>
        <xdr:sp macro="" textlink="">
          <xdr:nvSpPr>
            <xdr:cNvPr id="10" name="Rectángulo: esquinas redondeadas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152400" y="866775"/>
              <a:ext cx="1590675" cy="2952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AR" sz="1200" baseline="0"/>
                <a:t>FUSIONES (M&amp;A)</a:t>
              </a:r>
              <a:endParaRPr lang="es-AR" sz="1200"/>
            </a:p>
          </xdr:txBody>
        </xdr:sp>
      </xdr:grpSp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447675" y="1133476"/>
            <a:ext cx="16668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900">
                <a:solidFill>
                  <a:schemeClr val="tx1">
                    <a:lumMod val="75000"/>
                    <a:lumOff val="25000"/>
                  </a:schemeClr>
                </a:solidFill>
              </a:rPr>
              <a:t>Concentracion</a:t>
            </a:r>
            <a:r>
              <a:rPr lang="es-AR" sz="9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y bienestar</a:t>
            </a:r>
            <a:endParaRPr lang="es-AR" sz="9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750887</xdr:colOff>
      <xdr:row>9</xdr:row>
      <xdr:rowOff>49357</xdr:rowOff>
    </xdr:from>
    <xdr:to>
      <xdr:col>4</xdr:col>
      <xdr:colOff>222887</xdr:colOff>
      <xdr:row>12</xdr:row>
      <xdr:rowOff>125857</xdr:rowOff>
    </xdr:to>
    <xdr:grpSp>
      <xdr:nvGrpSpPr>
        <xdr:cNvPr id="12" name="Grup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750887" y="1754332"/>
          <a:ext cx="2520000" cy="648000"/>
          <a:chOff x="38100" y="781050"/>
          <a:chExt cx="2514600" cy="638175"/>
        </a:xfrm>
      </xdr:grpSpPr>
      <xdr:grpSp>
        <xdr:nvGrpSpPr>
          <xdr:cNvPr id="13" name="Grupo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pSpPr/>
        </xdr:nvGrpSpPr>
        <xdr:grpSpPr>
          <a:xfrm>
            <a:off x="38100" y="781050"/>
            <a:ext cx="2514600" cy="638175"/>
            <a:chOff x="85725" y="771525"/>
            <a:chExt cx="1733550" cy="457200"/>
          </a:xfrm>
        </xdr:grpSpPr>
        <xdr:sp macro="" textlink="">
          <xdr:nvSpPr>
            <xdr:cNvPr id="15" name="Rectángulo: esquinas redondeadas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 txBox="1"/>
          </xdr:nvSpPr>
          <xdr:spPr>
            <a:xfrm>
              <a:off x="152400" y="866775"/>
              <a:ext cx="1590675" cy="2952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AR" sz="1200"/>
                <a:t>IMPUESTOS</a:t>
              </a:r>
            </a:p>
          </xdr:txBody>
        </xdr:sp>
      </xdr:grpSp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323850" y="1133476"/>
            <a:ext cx="1962150" cy="2095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900">
                <a:solidFill>
                  <a:schemeClr val="tx1">
                    <a:lumMod val="75000"/>
                    <a:lumOff val="25000"/>
                  </a:schemeClr>
                </a:solidFill>
              </a:rPr>
              <a:t>Funciones no</a:t>
            </a:r>
            <a:r>
              <a:rPr lang="es-AR" sz="9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lineales</a:t>
            </a:r>
            <a:endParaRPr lang="es-AR" sz="9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708457</xdr:colOff>
      <xdr:row>4</xdr:row>
      <xdr:rowOff>49357</xdr:rowOff>
    </xdr:from>
    <xdr:to>
      <xdr:col>8</xdr:col>
      <xdr:colOff>180457</xdr:colOff>
      <xdr:row>7</xdr:row>
      <xdr:rowOff>125857</xdr:rowOff>
    </xdr:to>
    <xdr:grpSp>
      <xdr:nvGrpSpPr>
        <xdr:cNvPr id="17" name="Grup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3756457" y="801832"/>
          <a:ext cx="2520000" cy="648000"/>
          <a:chOff x="38100" y="781050"/>
          <a:chExt cx="2514600" cy="638175"/>
        </a:xfrm>
      </xdr:grpSpPr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GrpSpPr/>
        </xdr:nvGrpSpPr>
        <xdr:grpSpPr>
          <a:xfrm>
            <a:off x="38100" y="781050"/>
            <a:ext cx="2514600" cy="638175"/>
            <a:chOff x="85725" y="771525"/>
            <a:chExt cx="1733550" cy="457200"/>
          </a:xfrm>
        </xdr:grpSpPr>
        <xdr:sp macro="" textlink="">
          <xdr:nvSpPr>
            <xdr:cNvPr id="20" name="Rectángulo: esquinas redondeadas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52400" y="866775"/>
              <a:ext cx="1590675" cy="2952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AR" sz="1200"/>
                <a:t>DISCRIMINACION</a:t>
              </a:r>
              <a:r>
                <a:rPr lang="es-AR" sz="1200" baseline="0"/>
                <a:t> DE PRECIOS</a:t>
              </a:r>
              <a:endParaRPr lang="es-AR" sz="1200"/>
            </a:p>
          </xdr:txBody>
        </xdr:sp>
      </xdr:grpSp>
      <xdr:sp macro="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447675" y="1133476"/>
            <a:ext cx="16668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900">
                <a:solidFill>
                  <a:schemeClr val="tx1">
                    <a:lumMod val="75000"/>
                    <a:lumOff val="25000"/>
                  </a:schemeClr>
                </a:solidFill>
              </a:rPr>
              <a:t>Segmentacion</a:t>
            </a:r>
            <a:r>
              <a:rPr lang="es-AR" sz="9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, paquetes y T2P</a:t>
            </a:r>
            <a:endParaRPr lang="es-AR" sz="9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750887</xdr:colOff>
      <xdr:row>14</xdr:row>
      <xdr:rowOff>49357</xdr:rowOff>
    </xdr:from>
    <xdr:to>
      <xdr:col>4</xdr:col>
      <xdr:colOff>222887</xdr:colOff>
      <xdr:row>17</xdr:row>
      <xdr:rowOff>125857</xdr:rowOff>
    </xdr:to>
    <xdr:grpSp>
      <xdr:nvGrpSpPr>
        <xdr:cNvPr id="22" name="Grupo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750887" y="2706832"/>
          <a:ext cx="2520000" cy="648000"/>
          <a:chOff x="47625" y="2686050"/>
          <a:chExt cx="2514600" cy="638175"/>
        </a:xfrm>
      </xdr:grpSpPr>
      <xdr:grpSp>
        <xdr:nvGrpSpPr>
          <xdr:cNvPr id="23" name="Grupo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GrpSpPr/>
        </xdr:nvGrpSpPr>
        <xdr:grpSpPr>
          <a:xfrm>
            <a:off x="47625" y="2686050"/>
            <a:ext cx="2514600" cy="638175"/>
            <a:chOff x="85725" y="771525"/>
            <a:chExt cx="1733550" cy="457200"/>
          </a:xfrm>
        </xdr:grpSpPr>
        <xdr:sp macro="" textlink="">
          <xdr:nvSpPr>
            <xdr:cNvPr id="25" name="Rectángulo: esquinas redondeadas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 txBox="1"/>
          </xdr:nvSpPr>
          <xdr:spPr>
            <a:xfrm>
              <a:off x="139267" y="839479"/>
              <a:ext cx="1590675" cy="2952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AR" sz="1200"/>
                <a:t>SENSIBILIDAD</a:t>
              </a:r>
            </a:p>
          </xdr:txBody>
        </xdr:sp>
      </xdr:grpSp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314325" y="3019425"/>
            <a:ext cx="1962150" cy="2095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A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Impacto ante cambios</a:t>
            </a:r>
          </a:p>
        </xdr:txBody>
      </xdr:sp>
    </xdr:grpSp>
    <xdr:clientData/>
  </xdr:twoCellAnchor>
  <xdr:twoCellAnchor>
    <xdr:from>
      <xdr:col>4</xdr:col>
      <xdr:colOff>708457</xdr:colOff>
      <xdr:row>9</xdr:row>
      <xdr:rowOff>49357</xdr:rowOff>
    </xdr:from>
    <xdr:to>
      <xdr:col>8</xdr:col>
      <xdr:colOff>180457</xdr:colOff>
      <xdr:row>12</xdr:row>
      <xdr:rowOff>125857</xdr:rowOff>
    </xdr:to>
    <xdr:grpSp>
      <xdr:nvGrpSpPr>
        <xdr:cNvPr id="27" name="Grup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756457" y="1754332"/>
          <a:ext cx="2520000" cy="648000"/>
          <a:chOff x="38100" y="781050"/>
          <a:chExt cx="2514600" cy="638175"/>
        </a:xfrm>
      </xdr:grpSpPr>
      <xdr:grpSp>
        <xdr:nvGrpSpPr>
          <xdr:cNvPr id="28" name="Grupo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GrpSpPr/>
        </xdr:nvGrpSpPr>
        <xdr:grpSpPr>
          <a:xfrm>
            <a:off x="38100" y="781050"/>
            <a:ext cx="2514600" cy="638175"/>
            <a:chOff x="85725" y="771525"/>
            <a:chExt cx="1733550" cy="457200"/>
          </a:xfrm>
        </xdr:grpSpPr>
        <xdr:sp macro="" textlink="">
          <xdr:nvSpPr>
            <xdr:cNvPr id="30" name="Rectángulo: esquinas redondeadas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 txBox="1"/>
          </xdr:nvSpPr>
          <xdr:spPr>
            <a:xfrm>
              <a:off x="152400" y="866775"/>
              <a:ext cx="1590675" cy="2952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AR" sz="1200"/>
                <a:t>RIESGO</a:t>
              </a:r>
              <a:r>
                <a:rPr lang="es-AR" sz="1200" baseline="0"/>
                <a:t> ESTOCASTICO</a:t>
              </a:r>
              <a:endParaRPr lang="es-AR" sz="1200"/>
            </a:p>
          </xdr:txBody>
        </xdr:sp>
      </xdr:grp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447675" y="1133476"/>
            <a:ext cx="16668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900">
                <a:solidFill>
                  <a:schemeClr val="tx1">
                    <a:lumMod val="75000"/>
                    <a:lumOff val="25000"/>
                  </a:schemeClr>
                </a:solidFill>
              </a:rPr>
              <a:t>Simulacion</a:t>
            </a:r>
            <a:r>
              <a:rPr lang="es-AR" sz="9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de escenarios</a:t>
            </a:r>
            <a:endParaRPr lang="es-AR" sz="9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719138</xdr:colOff>
      <xdr:row>14</xdr:row>
      <xdr:rowOff>50944</xdr:rowOff>
    </xdr:from>
    <xdr:to>
      <xdr:col>8</xdr:col>
      <xdr:colOff>191138</xdr:colOff>
      <xdr:row>17</xdr:row>
      <xdr:rowOff>108394</xdr:rowOff>
    </xdr:to>
    <xdr:grpSp>
      <xdr:nvGrpSpPr>
        <xdr:cNvPr id="32" name="Grupo 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3767138" y="2708419"/>
          <a:ext cx="2520000" cy="628950"/>
          <a:chOff x="38100" y="781050"/>
          <a:chExt cx="2514600" cy="638175"/>
        </a:xfrm>
      </xdr:grpSpPr>
      <xdr:grpSp>
        <xdr:nvGrpSpPr>
          <xdr:cNvPr id="33" name="Grupo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GrpSpPr/>
        </xdr:nvGrpSpPr>
        <xdr:grpSpPr>
          <a:xfrm>
            <a:off x="38100" y="781050"/>
            <a:ext cx="2514600" cy="638175"/>
            <a:chOff x="85725" y="771525"/>
            <a:chExt cx="1733550" cy="457200"/>
          </a:xfrm>
        </xdr:grpSpPr>
        <xdr:sp macro="" textlink="">
          <xdr:nvSpPr>
            <xdr:cNvPr id="35" name="Rectángulo: esquinas redondeadas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00000000-0008-0000-0000-000042000000}"/>
                </a:ext>
              </a:extLst>
            </xdr:cNvPr>
            <xdr:cNvSpPr txBox="1"/>
          </xdr:nvSpPr>
          <xdr:spPr>
            <a:xfrm>
              <a:off x="152400" y="866775"/>
              <a:ext cx="1590675" cy="2952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AR" sz="1200" baseline="0"/>
                <a:t>MULTIPRODUCTO</a:t>
              </a:r>
              <a:endParaRPr lang="es-AR" sz="1200"/>
            </a:p>
          </xdr:txBody>
        </xdr:sp>
      </xdr:grpSp>
      <xdr:sp macro="" textlink="">
        <xdr:nvSpPr>
          <xdr:cNvPr id="34" name="CuadroTexto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447675" y="1133476"/>
            <a:ext cx="16668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900">
                <a:solidFill>
                  <a:schemeClr val="tx1">
                    <a:lumMod val="75000"/>
                    <a:lumOff val="25000"/>
                  </a:schemeClr>
                </a:solidFill>
              </a:rPr>
              <a:t>Canibalizacion</a:t>
            </a:r>
          </a:p>
        </xdr:txBody>
      </xdr:sp>
    </xdr:grpSp>
    <xdr:clientData/>
  </xdr:twoCellAnchor>
  <xdr:twoCellAnchor>
    <xdr:from>
      <xdr:col>4</xdr:col>
      <xdr:colOff>703263</xdr:colOff>
      <xdr:row>18</xdr:row>
      <xdr:rowOff>144606</xdr:rowOff>
    </xdr:from>
    <xdr:to>
      <xdr:col>8</xdr:col>
      <xdr:colOff>175263</xdr:colOff>
      <xdr:row>22</xdr:row>
      <xdr:rowOff>30606</xdr:rowOff>
    </xdr:to>
    <xdr:grpSp>
      <xdr:nvGrpSpPr>
        <xdr:cNvPr id="67" name="Grupo 6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pSpPr/>
      </xdr:nvGrpSpPr>
      <xdr:grpSpPr>
        <a:xfrm>
          <a:off x="3751263" y="3564081"/>
          <a:ext cx="2520000" cy="648000"/>
          <a:chOff x="38100" y="781050"/>
          <a:chExt cx="2514600" cy="638175"/>
        </a:xfrm>
      </xdr:grpSpPr>
      <xdr:grpSp>
        <xdr:nvGrpSpPr>
          <xdr:cNvPr id="68" name="Grupo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GrpSpPr/>
        </xdr:nvGrpSpPr>
        <xdr:grpSpPr>
          <a:xfrm>
            <a:off x="38100" y="781050"/>
            <a:ext cx="2514600" cy="638175"/>
            <a:chOff x="85725" y="771525"/>
            <a:chExt cx="1733550" cy="457200"/>
          </a:xfrm>
        </xdr:grpSpPr>
        <xdr:sp macro="" textlink="">
          <xdr:nvSpPr>
            <xdr:cNvPr id="70" name="Rectángulo: esquinas redondeadas 69">
              <a:extLst>
                <a:ext uri="{FF2B5EF4-FFF2-40B4-BE49-F238E27FC236}">
                  <a16:creationId xmlns:a16="http://schemas.microsoft.com/office/drawing/2014/main" id="{00000000-0008-0000-0000-000046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71" name="CuadroTexto 70">
              <a:extLst>
                <a:ext uri="{FF2B5EF4-FFF2-40B4-BE49-F238E27FC236}">
                  <a16:creationId xmlns:a16="http://schemas.microsoft.com/office/drawing/2014/main" id="{00000000-0008-0000-0000-000047000000}"/>
                </a:ext>
              </a:extLst>
            </xdr:cNvPr>
            <xdr:cNvSpPr txBox="1"/>
          </xdr:nvSpPr>
          <xdr:spPr>
            <a:xfrm>
              <a:off x="152400" y="866775"/>
              <a:ext cx="1590675" cy="2952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AR" sz="1200" baseline="0"/>
                <a:t>DIFERENCIACION</a:t>
              </a:r>
              <a:endParaRPr lang="es-AR" sz="1200"/>
            </a:p>
          </xdr:txBody>
        </xdr:sp>
      </xdr:grpSp>
      <xdr:sp macro="" textlink="">
        <xdr:nvSpPr>
          <xdr:cNvPr id="69" name="CuadroTexto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447675" y="1133476"/>
            <a:ext cx="16668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900">
                <a:solidFill>
                  <a:schemeClr val="tx1">
                    <a:lumMod val="75000"/>
                    <a:lumOff val="25000"/>
                  </a:schemeClr>
                </a:solidFill>
              </a:rPr>
              <a:t>Horizontal</a:t>
            </a:r>
            <a:r>
              <a:rPr lang="es-AR" sz="9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y vertical</a:t>
            </a:r>
            <a:endParaRPr lang="es-AR" sz="9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615951</xdr:colOff>
      <xdr:row>4</xdr:row>
      <xdr:rowOff>60470</xdr:rowOff>
    </xdr:from>
    <xdr:to>
      <xdr:col>12</xdr:col>
      <xdr:colOff>87951</xdr:colOff>
      <xdr:row>7</xdr:row>
      <xdr:rowOff>136970</xdr:rowOff>
    </xdr:to>
    <xdr:grpSp>
      <xdr:nvGrpSpPr>
        <xdr:cNvPr id="36" name="Grupo 3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6711951" y="812945"/>
          <a:ext cx="2520000" cy="648000"/>
          <a:chOff x="38100" y="781050"/>
          <a:chExt cx="2514600" cy="638175"/>
        </a:xfrm>
      </xdr:grpSpPr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38100" y="781050"/>
            <a:ext cx="2514600" cy="638175"/>
            <a:chOff x="85725" y="771525"/>
            <a:chExt cx="1733550" cy="457200"/>
          </a:xfrm>
        </xdr:grpSpPr>
        <xdr:sp macro="" textlink="">
          <xdr:nvSpPr>
            <xdr:cNvPr id="39" name="Rectángulo: esquinas redondeadas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  <a:solidFill>
              <a:srgbClr val="4472C4"/>
            </a:solidFill>
            <a:ln w="12700" cap="flat" cmpd="sng" algn="ctr">
              <a:solidFill>
                <a:srgbClr val="4472C4">
                  <a:shade val="15000"/>
                </a:srgbClr>
              </a:solidFill>
              <a:prstDash val="solid"/>
              <a:miter lim="800000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s-A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 txBox="1"/>
          </xdr:nvSpPr>
          <xdr:spPr>
            <a:xfrm>
              <a:off x="152400" y="866775"/>
              <a:ext cx="1590675" cy="2952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AR" sz="12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PLATAFORMAS</a:t>
              </a:r>
            </a:p>
          </xdr:txBody>
        </xdr:sp>
      </xdr:grpSp>
      <xdr:sp macro="" textlink="">
        <xdr:nvSpPr>
          <xdr:cNvPr id="38" name="CuadroTexto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447675" y="1133476"/>
            <a:ext cx="1666875" cy="2286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A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Two-sided markets</a:t>
            </a:r>
          </a:p>
        </xdr:txBody>
      </xdr:sp>
    </xdr:grpSp>
    <xdr:clientData/>
  </xdr:twoCellAnchor>
  <xdr:twoCellAnchor>
    <xdr:from>
      <xdr:col>8</xdr:col>
      <xdr:colOff>638609</xdr:colOff>
      <xdr:row>9</xdr:row>
      <xdr:rowOff>31894</xdr:rowOff>
    </xdr:from>
    <xdr:to>
      <xdr:col>12</xdr:col>
      <xdr:colOff>110609</xdr:colOff>
      <xdr:row>12</xdr:row>
      <xdr:rowOff>89344</xdr:rowOff>
    </xdr:to>
    <xdr:grpSp>
      <xdr:nvGrpSpPr>
        <xdr:cNvPr id="41" name="Grupo 4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pSpPr/>
      </xdr:nvGrpSpPr>
      <xdr:grpSpPr>
        <a:xfrm>
          <a:off x="6734609" y="1736869"/>
          <a:ext cx="2520000" cy="628950"/>
          <a:chOff x="38100" y="781050"/>
          <a:chExt cx="2514600" cy="638175"/>
        </a:xfrm>
      </xdr:grpSpPr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GrpSpPr/>
        </xdr:nvGrpSpPr>
        <xdr:grpSpPr>
          <a:xfrm>
            <a:off x="38100" y="781050"/>
            <a:ext cx="2514600" cy="638175"/>
            <a:chOff x="85725" y="771525"/>
            <a:chExt cx="1733550" cy="457200"/>
          </a:xfrm>
        </xdr:grpSpPr>
        <xdr:sp macro="" textlink="">
          <xdr:nvSpPr>
            <xdr:cNvPr id="44" name="Rectángulo: esquinas redondeadas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 txBox="1"/>
          </xdr:nvSpPr>
          <xdr:spPr>
            <a:xfrm>
              <a:off x="152400" y="866775"/>
              <a:ext cx="1590675" cy="2952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AR" sz="1200" baseline="0"/>
                <a:t>INNOVACION</a:t>
              </a:r>
              <a:endParaRPr lang="es-AR" sz="1200"/>
            </a:p>
          </xdr:txBody>
        </xdr:sp>
      </xdr:grpSp>
      <xdr:sp macro="" textlink="">
        <xdr:nvSpPr>
          <xdr:cNvPr id="43" name="CuadroTexto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447675" y="1133476"/>
            <a:ext cx="16668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900">
                <a:solidFill>
                  <a:schemeClr val="tx1">
                    <a:lumMod val="75000"/>
                    <a:lumOff val="25000"/>
                  </a:schemeClr>
                </a:solidFill>
              </a:rPr>
              <a:t>Gasto en I+D</a:t>
            </a:r>
          </a:p>
        </xdr:txBody>
      </xdr:sp>
    </xdr:grpSp>
    <xdr:clientData/>
  </xdr:twoCellAnchor>
  <xdr:twoCellAnchor>
    <xdr:from>
      <xdr:col>8</xdr:col>
      <xdr:colOff>629084</xdr:colOff>
      <xdr:row>14</xdr:row>
      <xdr:rowOff>22369</xdr:rowOff>
    </xdr:from>
    <xdr:to>
      <xdr:col>12</xdr:col>
      <xdr:colOff>101084</xdr:colOff>
      <xdr:row>17</xdr:row>
      <xdr:rowOff>79819</xdr:rowOff>
    </xdr:to>
    <xdr:grpSp>
      <xdr:nvGrpSpPr>
        <xdr:cNvPr id="46" name="Grupo 4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pSpPr/>
      </xdr:nvGrpSpPr>
      <xdr:grpSpPr>
        <a:xfrm>
          <a:off x="6725084" y="2679844"/>
          <a:ext cx="2520000" cy="628950"/>
          <a:chOff x="38100" y="781050"/>
          <a:chExt cx="2514600" cy="638175"/>
        </a:xfrm>
      </xdr:grpSpPr>
      <xdr:grpSp>
        <xdr:nvGrpSpPr>
          <xdr:cNvPr id="47" name="Grupo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GrpSpPr/>
        </xdr:nvGrpSpPr>
        <xdr:grpSpPr>
          <a:xfrm>
            <a:off x="38100" y="781050"/>
            <a:ext cx="2514600" cy="638175"/>
            <a:chOff x="85725" y="771525"/>
            <a:chExt cx="1733550" cy="457200"/>
          </a:xfrm>
        </xdr:grpSpPr>
        <xdr:sp macro="" textlink="">
          <xdr:nvSpPr>
            <xdr:cNvPr id="49" name="Rectángulo: esquinas redondeadas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152400" y="866775"/>
              <a:ext cx="1590675" cy="2952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AR" sz="1200" baseline="0"/>
                <a:t>RELACIONES VERTICALES</a:t>
              </a:r>
              <a:endParaRPr lang="es-AR" sz="1200"/>
            </a:p>
          </xdr:txBody>
        </xdr:sp>
      </xdr:grpSp>
      <xdr:sp macro="" textlink="">
        <xdr:nvSpPr>
          <xdr:cNvPr id="48" name="CuadroTexto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 txBox="1"/>
        </xdr:nvSpPr>
        <xdr:spPr>
          <a:xfrm>
            <a:off x="447675" y="1133476"/>
            <a:ext cx="16668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9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Doble marginalizacion</a:t>
            </a:r>
            <a:endParaRPr lang="es-AR" sz="9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619125</xdr:colOff>
      <xdr:row>18</xdr:row>
      <xdr:rowOff>152400</xdr:rowOff>
    </xdr:from>
    <xdr:to>
      <xdr:col>12</xdr:col>
      <xdr:colOff>104775</xdr:colOff>
      <xdr:row>22</xdr:row>
      <xdr:rowOff>19350</xdr:rowOff>
    </xdr:to>
    <xdr:grpSp>
      <xdr:nvGrpSpPr>
        <xdr:cNvPr id="51" name="Grupo 5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6715125" y="3571875"/>
          <a:ext cx="2533650" cy="628950"/>
          <a:chOff x="28595" y="781050"/>
          <a:chExt cx="2528221" cy="638175"/>
        </a:xfrm>
      </xdr:grpSpPr>
      <xdr:grpSp>
        <xdr:nvGrpSpPr>
          <xdr:cNvPr id="52" name="Grupo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GrpSpPr/>
        </xdr:nvGrpSpPr>
        <xdr:grpSpPr>
          <a:xfrm>
            <a:off x="28595" y="781050"/>
            <a:ext cx="2528221" cy="638175"/>
            <a:chOff x="79172" y="771525"/>
            <a:chExt cx="1742940" cy="457200"/>
          </a:xfrm>
        </xdr:grpSpPr>
        <xdr:sp macro="" textlink="">
          <xdr:nvSpPr>
            <xdr:cNvPr id="54" name="Rectángulo: esquinas redondeadas 53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 txBox="1"/>
          </xdr:nvSpPr>
          <xdr:spPr>
            <a:xfrm>
              <a:off x="79172" y="771525"/>
              <a:ext cx="1742940" cy="45698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AR" sz="1200" baseline="0"/>
                <a:t>SUBASTAS</a:t>
              </a:r>
              <a:endParaRPr lang="es-AR" sz="1200"/>
            </a:p>
          </xdr:txBody>
        </xdr:sp>
      </xdr:grpSp>
      <xdr:sp macro="" textlink="">
        <xdr:nvSpPr>
          <xdr:cNvPr id="53" name="CuadroTexto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 txBox="1"/>
        </xdr:nvSpPr>
        <xdr:spPr>
          <a:xfrm>
            <a:off x="447675" y="1181800"/>
            <a:ext cx="16668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9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De 1° y 2° precio</a:t>
            </a:r>
            <a:endParaRPr lang="es-AR" sz="9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>
    <xdr:from>
      <xdr:col>12</xdr:col>
      <xdr:colOff>492126</xdr:colOff>
      <xdr:row>4</xdr:row>
      <xdr:rowOff>41420</xdr:rowOff>
    </xdr:from>
    <xdr:to>
      <xdr:col>15</xdr:col>
      <xdr:colOff>726126</xdr:colOff>
      <xdr:row>7</xdr:row>
      <xdr:rowOff>117920</xdr:rowOff>
    </xdr:to>
    <xdr:grpSp>
      <xdr:nvGrpSpPr>
        <xdr:cNvPr id="56" name="Grupo 5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pSpPr/>
      </xdr:nvGrpSpPr>
      <xdr:grpSpPr>
        <a:xfrm>
          <a:off x="9636126" y="793895"/>
          <a:ext cx="2520000" cy="648000"/>
          <a:chOff x="38100" y="781050"/>
          <a:chExt cx="2514600" cy="638175"/>
        </a:xfrm>
      </xdr:grpSpPr>
      <xdr:grpSp>
        <xdr:nvGrpSpPr>
          <xdr:cNvPr id="57" name="Grupo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GrpSpPr/>
        </xdr:nvGrpSpPr>
        <xdr:grpSpPr>
          <a:xfrm>
            <a:off x="38100" y="781050"/>
            <a:ext cx="2514600" cy="638175"/>
            <a:chOff x="85725" y="771525"/>
            <a:chExt cx="1733550" cy="457200"/>
          </a:xfrm>
        </xdr:grpSpPr>
        <xdr:sp macro="" textlink="">
          <xdr:nvSpPr>
            <xdr:cNvPr id="59" name="Rectángulo: esquinas redondeadas 58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  <a:solidFill>
              <a:srgbClr val="4472C4"/>
            </a:solidFill>
            <a:ln w="12700" cap="flat" cmpd="sng" algn="ctr">
              <a:solidFill>
                <a:srgbClr val="4472C4">
                  <a:shade val="15000"/>
                </a:srgbClr>
              </a:solidFill>
              <a:prstDash val="solid"/>
              <a:miter lim="800000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s-A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SpPr txBox="1"/>
          </xdr:nvSpPr>
          <xdr:spPr>
            <a:xfrm>
              <a:off x="152400" y="866775"/>
              <a:ext cx="1590675" cy="2952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t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AR" sz="12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COLUSION</a:t>
              </a:r>
            </a:p>
          </xdr:txBody>
        </xdr:sp>
      </xdr:grpSp>
      <xdr:sp macro="" textlink="">
        <xdr:nvSpPr>
          <xdr:cNvPr id="58" name="CuadroTexto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 txBox="1"/>
        </xdr:nvSpPr>
        <xdr:spPr>
          <a:xfrm>
            <a:off x="447675" y="1133476"/>
            <a:ext cx="1666875" cy="2286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A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Factor de descuento minimo</a:t>
            </a:r>
          </a:p>
        </xdr:txBody>
      </xdr:sp>
    </xdr:grpSp>
    <xdr:clientData/>
  </xdr:twoCellAnchor>
  <xdr:twoCellAnchor>
    <xdr:from>
      <xdr:col>12</xdr:col>
      <xdr:colOff>485775</xdr:colOff>
      <xdr:row>9</xdr:row>
      <xdr:rowOff>19050</xdr:rowOff>
    </xdr:from>
    <xdr:to>
      <xdr:col>15</xdr:col>
      <xdr:colOff>719775</xdr:colOff>
      <xdr:row>12</xdr:row>
      <xdr:rowOff>76500</xdr:rowOff>
    </xdr:to>
    <xdr:grpSp>
      <xdr:nvGrpSpPr>
        <xdr:cNvPr id="61" name="Grupo 6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GrpSpPr/>
      </xdr:nvGrpSpPr>
      <xdr:grpSpPr>
        <a:xfrm>
          <a:off x="9629775" y="1724025"/>
          <a:ext cx="2520000" cy="628950"/>
          <a:chOff x="38100" y="781050"/>
          <a:chExt cx="2514600" cy="638175"/>
        </a:xfrm>
      </xdr:grpSpPr>
      <xdr:grpSp>
        <xdr:nvGrpSpPr>
          <xdr:cNvPr id="62" name="Grupo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GrpSpPr/>
        </xdr:nvGrpSpPr>
        <xdr:grpSpPr>
          <a:xfrm>
            <a:off x="38100" y="781050"/>
            <a:ext cx="2514600" cy="638175"/>
            <a:chOff x="85725" y="771525"/>
            <a:chExt cx="1733550" cy="457200"/>
          </a:xfrm>
        </xdr:grpSpPr>
        <xdr:sp macro="" textlink="">
          <xdr:nvSpPr>
            <xdr:cNvPr id="64" name="Rectángulo: esquinas redondeadas 63">
              <a:extLst>
                <a:ext uri="{FF2B5EF4-FFF2-40B4-BE49-F238E27FC236}">
                  <a16:creationId xmlns:a16="http://schemas.microsoft.com/office/drawing/2014/main" id="{00000000-0008-0000-0000-000040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65" name="CuadroTexto 64">
              <a:extLst>
                <a:ext uri="{FF2B5EF4-FFF2-40B4-BE49-F238E27FC236}">
                  <a16:creationId xmlns:a16="http://schemas.microsoft.com/office/drawing/2014/main" id="{00000000-0008-0000-0000-000041000000}"/>
                </a:ext>
              </a:extLst>
            </xdr:cNvPr>
            <xdr:cNvSpPr txBox="1"/>
          </xdr:nvSpPr>
          <xdr:spPr>
            <a:xfrm>
              <a:off x="152400" y="866775"/>
              <a:ext cx="1590675" cy="2952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AR" sz="1200" baseline="0"/>
                <a:t>BARRERAS A LA ENTRADA</a:t>
              </a:r>
              <a:endParaRPr lang="es-AR" sz="1200"/>
            </a:p>
          </xdr:txBody>
        </xdr:sp>
      </xdr:grpSp>
      <xdr:sp macro="" textlink="">
        <xdr:nvSpPr>
          <xdr:cNvPr id="63" name="CuadroTexto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 txBox="1"/>
        </xdr:nvSpPr>
        <xdr:spPr>
          <a:xfrm>
            <a:off x="76118" y="1143140"/>
            <a:ext cx="2471192" cy="2661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9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Inversion en capacidad y precios limitantes</a:t>
            </a:r>
          </a:p>
        </xdr:txBody>
      </xdr:sp>
    </xdr:grpSp>
    <xdr:clientData/>
  </xdr:twoCellAnchor>
  <xdr:twoCellAnchor>
    <xdr:from>
      <xdr:col>12</xdr:col>
      <xdr:colOff>466725</xdr:colOff>
      <xdr:row>14</xdr:row>
      <xdr:rowOff>9525</xdr:rowOff>
    </xdr:from>
    <xdr:to>
      <xdr:col>15</xdr:col>
      <xdr:colOff>700725</xdr:colOff>
      <xdr:row>17</xdr:row>
      <xdr:rowOff>66975</xdr:rowOff>
    </xdr:to>
    <xdr:grpSp>
      <xdr:nvGrpSpPr>
        <xdr:cNvPr id="72" name="Grupo 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GrpSpPr/>
      </xdr:nvGrpSpPr>
      <xdr:grpSpPr>
        <a:xfrm>
          <a:off x="9610725" y="2667000"/>
          <a:ext cx="2520000" cy="628950"/>
          <a:chOff x="38100" y="781050"/>
          <a:chExt cx="2514600" cy="638175"/>
        </a:xfrm>
      </xdr:grpSpPr>
      <xdr:grpSp>
        <xdr:nvGrpSpPr>
          <xdr:cNvPr id="73" name="Grupo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GrpSpPr/>
        </xdr:nvGrpSpPr>
        <xdr:grpSpPr>
          <a:xfrm>
            <a:off x="38100" y="781050"/>
            <a:ext cx="2514600" cy="638175"/>
            <a:chOff x="85725" y="771525"/>
            <a:chExt cx="1733550" cy="457200"/>
          </a:xfrm>
        </xdr:grpSpPr>
        <xdr:sp macro="" textlink="">
          <xdr:nvSpPr>
            <xdr:cNvPr id="75" name="Rectángulo: esquinas redondeadas 74">
              <a:extLst>
                <a:ext uri="{FF2B5EF4-FFF2-40B4-BE49-F238E27FC236}">
                  <a16:creationId xmlns:a16="http://schemas.microsoft.com/office/drawing/2014/main" id="{00000000-0008-0000-0000-00004B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76" name="CuadroTexto 75">
              <a:extLst>
                <a:ext uri="{FF2B5EF4-FFF2-40B4-BE49-F238E27FC236}">
                  <a16:creationId xmlns:a16="http://schemas.microsoft.com/office/drawing/2014/main" id="{00000000-0008-0000-0000-00004C000000}"/>
                </a:ext>
              </a:extLst>
            </xdr:cNvPr>
            <xdr:cNvSpPr txBox="1"/>
          </xdr:nvSpPr>
          <xdr:spPr>
            <a:xfrm>
              <a:off x="152400" y="866775"/>
              <a:ext cx="1590675" cy="2952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AR" sz="1200" baseline="0"/>
                <a:t>PROPERTY RIGHTS</a:t>
              </a:r>
              <a:endParaRPr lang="es-AR" sz="1200"/>
            </a:p>
          </xdr:txBody>
        </xdr:sp>
      </xdr:grpSp>
      <xdr:sp macro="" textlink="">
        <xdr:nvSpPr>
          <xdr:cNvPr id="74" name="CuadroTexto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76118" y="1143140"/>
            <a:ext cx="2471192" cy="2661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9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Integrar vs comerciar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11906</xdr:colOff>
      <xdr:row>2</xdr:row>
      <xdr:rowOff>11906</xdr:rowOff>
    </xdr:from>
    <xdr:ext cx="111896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523875" y="583406"/>
              <a:ext cx="11189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: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𝑏𝑃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DFD9290D-BD55-4BB7-A568-61B45064F5F4}"/>
                </a:ext>
              </a:extLst>
            </xdr:cNvPr>
            <xdr:cNvSpPr txBox="1"/>
          </xdr:nvSpPr>
          <xdr:spPr>
            <a:xfrm>
              <a:off x="523875" y="583406"/>
              <a:ext cx="11189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𝐷𝑒𝑚𝑎𝑛𝑑𝑎:𝑎−𝑏𝑃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13</xdr:col>
      <xdr:colOff>11906</xdr:colOff>
      <xdr:row>2</xdr:row>
      <xdr:rowOff>11906</xdr:rowOff>
    </xdr:from>
    <xdr:ext cx="111896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691062" y="583406"/>
              <a:ext cx="11189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: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𝑏𝑃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691062" y="583406"/>
              <a:ext cx="11189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𝐷𝑒𝑚𝑎𝑛𝑑𝑎:𝑎−𝑏𝑃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21</xdr:col>
      <xdr:colOff>11906</xdr:colOff>
      <xdr:row>2</xdr:row>
      <xdr:rowOff>11906</xdr:rowOff>
    </xdr:from>
    <xdr:ext cx="111896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1501437" y="583406"/>
              <a:ext cx="11189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: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𝑏𝑃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21A667A7-3B4E-4719-A38C-D0006388E154}"/>
                </a:ext>
              </a:extLst>
            </xdr:cNvPr>
            <xdr:cNvSpPr txBox="1"/>
          </xdr:nvSpPr>
          <xdr:spPr>
            <a:xfrm>
              <a:off x="11501437" y="583406"/>
              <a:ext cx="11189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𝐷𝑒𝑚𝑎𝑛𝑑𝑎:𝑎−𝑏𝑃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33</xdr:col>
      <xdr:colOff>11906</xdr:colOff>
      <xdr:row>2</xdr:row>
      <xdr:rowOff>11906</xdr:rowOff>
    </xdr:from>
    <xdr:ext cx="111896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16073437" y="583406"/>
              <a:ext cx="11189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: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𝑏𝑃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16073437" y="583406"/>
              <a:ext cx="11189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𝐷𝑒𝑚𝑎𝑛𝑑𝑎:𝑎−𝑏𝑃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15875</xdr:colOff>
      <xdr:row>4</xdr:row>
      <xdr:rowOff>0</xdr:rowOff>
    </xdr:from>
    <xdr:ext cx="95051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 txBox="1"/>
          </xdr:nvSpPr>
          <xdr:spPr>
            <a:xfrm>
              <a:off x="523875" y="952500"/>
              <a:ext cx="95051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𝑂𝑓𝑒𝑟𝑡𝑎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: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𝑑𝑃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F1A782B-A5C4-4193-91E3-CDE4F530FC17}"/>
                </a:ext>
              </a:extLst>
            </xdr:cNvPr>
            <xdr:cNvSpPr txBox="1"/>
          </xdr:nvSpPr>
          <xdr:spPr>
            <a:xfrm>
              <a:off x="523875" y="952500"/>
              <a:ext cx="95051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𝑂𝑓𝑒𝑟𝑡𝑎:𝑐+𝑑𝑃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21</xdr:col>
      <xdr:colOff>15875</xdr:colOff>
      <xdr:row>4</xdr:row>
      <xdr:rowOff>0</xdr:rowOff>
    </xdr:from>
    <xdr:ext cx="95051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15386844" y="952500"/>
              <a:ext cx="95051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𝑂𝑓𝑒𝑟𝑡𝑎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: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𝑑𝑃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15386844" y="952500"/>
              <a:ext cx="95051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𝑂𝑓𝑒𝑟𝑡𝑎:𝑐+𝑑𝑃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13</xdr:col>
      <xdr:colOff>15875</xdr:colOff>
      <xdr:row>4</xdr:row>
      <xdr:rowOff>0</xdr:rowOff>
    </xdr:from>
    <xdr:ext cx="7251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 txBox="1"/>
          </xdr:nvSpPr>
          <xdr:spPr>
            <a:xfrm>
              <a:off x="4651375" y="952500"/>
              <a:ext cx="725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/>
                <a:t>Cmg</a:t>
              </a:r>
              <a14:m>
                <m:oMath xmlns:m="http://schemas.openxmlformats.org/officeDocument/2006/math">
                  <m:r>
                    <a:rPr lang="es-ES" sz="1100" b="0" i="1">
                      <a:latin typeface="Cambria Math" panose="02040503050406030204" pitchFamily="18" charset="0"/>
                    </a:rPr>
                    <m:t>:</m:t>
                  </m:r>
                  <m:r>
                    <a:rPr lang="es-ES" sz="1100" b="0" i="1">
                      <a:latin typeface="Cambria Math" panose="02040503050406030204" pitchFamily="18" charset="0"/>
                    </a:rPr>
                    <m:t>𝑐</m:t>
                  </m:r>
                  <m:r>
                    <a:rPr lang="es-ES" sz="1100" b="0" i="1">
                      <a:latin typeface="Cambria Math" panose="02040503050406030204" pitchFamily="18" charset="0"/>
                    </a:rPr>
                    <m:t>+</m:t>
                  </m:r>
                  <m:r>
                    <a:rPr lang="es-ES" sz="1100" b="0" i="1">
                      <a:latin typeface="Cambria Math" panose="02040503050406030204" pitchFamily="18" charset="0"/>
                    </a:rPr>
                    <m:t>𝑑𝑃</m:t>
                  </m:r>
                </m:oMath>
              </a14:m>
              <a:endParaRPr lang="es-AR" sz="1100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4651375" y="952500"/>
              <a:ext cx="725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/>
                <a:t>Cmg</a:t>
              </a:r>
              <a:r>
                <a:rPr lang="es-ES" sz="1100" b="0" i="0">
                  <a:latin typeface="Cambria Math" panose="02040503050406030204" pitchFamily="18" charset="0"/>
                </a:rPr>
                <a:t>:𝑐+𝑑𝑃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33</xdr:col>
      <xdr:colOff>15875</xdr:colOff>
      <xdr:row>4</xdr:row>
      <xdr:rowOff>0</xdr:rowOff>
    </xdr:from>
    <xdr:ext cx="76918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23625969" y="952500"/>
              <a:ext cx="76918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: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𝑑𝑃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23625969" y="952500"/>
              <a:ext cx="76918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Cmg:𝑐+𝑑𝑃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7</xdr:col>
      <xdr:colOff>13607</xdr:colOff>
      <xdr:row>2</xdr:row>
      <xdr:rowOff>13607</xdr:rowOff>
    </xdr:from>
    <xdr:ext cx="111896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4667250" y="585107"/>
              <a:ext cx="11189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: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𝑏𝑃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BF961238-2AD6-4041-891C-CBF7B4B1EA8C}"/>
                </a:ext>
              </a:extLst>
            </xdr:cNvPr>
            <xdr:cNvSpPr txBox="1"/>
          </xdr:nvSpPr>
          <xdr:spPr>
            <a:xfrm>
              <a:off x="4667250" y="585107"/>
              <a:ext cx="11189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𝐷𝑒𝑚𝑎𝑛𝑑𝑎:𝑎−𝑏𝑃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7</xdr:col>
      <xdr:colOff>13607</xdr:colOff>
      <xdr:row>4</xdr:row>
      <xdr:rowOff>0</xdr:rowOff>
    </xdr:from>
    <xdr:ext cx="7251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 txBox="1"/>
          </xdr:nvSpPr>
          <xdr:spPr>
            <a:xfrm>
              <a:off x="4692763" y="952500"/>
              <a:ext cx="725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/>
                <a:t>Cmg</a:t>
              </a:r>
              <a14:m>
                <m:oMath xmlns:m="http://schemas.openxmlformats.org/officeDocument/2006/math">
                  <m:r>
                    <a:rPr lang="es-ES" sz="1100" b="0" i="1">
                      <a:latin typeface="Cambria Math" panose="02040503050406030204" pitchFamily="18" charset="0"/>
                    </a:rPr>
                    <m:t>:</m:t>
                  </m:r>
                  <m:r>
                    <a:rPr lang="es-ES" sz="1100" b="0" i="1">
                      <a:latin typeface="Cambria Math" panose="02040503050406030204" pitchFamily="18" charset="0"/>
                    </a:rPr>
                    <m:t>𝑐</m:t>
                  </m:r>
                  <m:r>
                    <a:rPr lang="es-ES" sz="1100" b="0" i="1">
                      <a:latin typeface="Cambria Math" panose="02040503050406030204" pitchFamily="18" charset="0"/>
                    </a:rPr>
                    <m:t>+</m:t>
                  </m:r>
                  <m:r>
                    <a:rPr lang="es-ES" sz="1100" b="0" i="1">
                      <a:latin typeface="Cambria Math" panose="02040503050406030204" pitchFamily="18" charset="0"/>
                    </a:rPr>
                    <m:t>𝑑𝑃</m:t>
                  </m:r>
                </m:oMath>
              </a14:m>
              <a:endParaRPr lang="es-AR" sz="1100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9AF8E93A-CE04-4A82-8D03-13B80B01AC9D}"/>
                </a:ext>
              </a:extLst>
            </xdr:cNvPr>
            <xdr:cNvSpPr txBox="1"/>
          </xdr:nvSpPr>
          <xdr:spPr>
            <a:xfrm>
              <a:off x="4692763" y="952500"/>
              <a:ext cx="7251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/>
                <a:t>Cmg</a:t>
              </a:r>
              <a:r>
                <a:rPr lang="es-ES" sz="1100" b="0" i="0">
                  <a:latin typeface="Cambria Math" panose="02040503050406030204" pitchFamily="18" charset="0"/>
                </a:rPr>
                <a:t>:𝑐+𝑑𝑃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27</xdr:col>
      <xdr:colOff>13607</xdr:colOff>
      <xdr:row>2</xdr:row>
      <xdr:rowOff>13607</xdr:rowOff>
    </xdr:from>
    <xdr:ext cx="111896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4667250" y="585107"/>
              <a:ext cx="11189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: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𝑏𝑃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F8A3FDC4-7A09-40FD-8530-B8BF972DAFF6}"/>
                </a:ext>
              </a:extLst>
            </xdr:cNvPr>
            <xdr:cNvSpPr txBox="1"/>
          </xdr:nvSpPr>
          <xdr:spPr>
            <a:xfrm>
              <a:off x="4667250" y="585107"/>
              <a:ext cx="11189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𝐷𝑒𝑚𝑎𝑛𝑑𝑎:𝑎−𝑏𝑃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27</xdr:col>
      <xdr:colOff>13607</xdr:colOff>
      <xdr:row>4</xdr:row>
      <xdr:rowOff>0</xdr:rowOff>
    </xdr:from>
    <xdr:ext cx="79393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19551763" y="952500"/>
              <a:ext cx="79393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𝐶𝑚𝑔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: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𝑑𝑃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7A2AE633-DF21-42AB-BAEA-459DB46BA9E7}"/>
                </a:ext>
              </a:extLst>
            </xdr:cNvPr>
            <xdr:cNvSpPr txBox="1"/>
          </xdr:nvSpPr>
          <xdr:spPr>
            <a:xfrm>
              <a:off x="19551763" y="952500"/>
              <a:ext cx="79393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𝐶𝑚𝑔:𝑐+𝑑𝑃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7</xdr:col>
      <xdr:colOff>13607</xdr:colOff>
      <xdr:row>6</xdr:row>
      <xdr:rowOff>0</xdr:rowOff>
    </xdr:from>
    <xdr:ext cx="414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 txBox="1"/>
          </xdr:nvSpPr>
          <xdr:spPr>
            <a:xfrm>
              <a:off x="4667250" y="1333500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𝑁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𝑛</m:t>
                    </m:r>
                  </m:oMath>
                </m:oMathPara>
              </a14:m>
              <a:endParaRPr lang="es-ES" sz="1100" b="0"/>
            </a:p>
          </xdr:txBody>
        </xdr:sp>
      </mc:Choice>
      <mc:Fallback xmlns="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64AB40C9-71F2-4C7A-875C-9F104E5781DA}"/>
                </a:ext>
              </a:extLst>
            </xdr:cNvPr>
            <xdr:cNvSpPr txBox="1"/>
          </xdr:nvSpPr>
          <xdr:spPr>
            <a:xfrm>
              <a:off x="4667250" y="1333500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𝑁=𝑛</a:t>
              </a:r>
              <a:endParaRPr lang="es-ES" sz="1100" b="0"/>
            </a:p>
          </xdr:txBody>
        </xdr:sp>
      </mc:Fallback>
    </mc:AlternateContent>
    <xdr:clientData/>
  </xdr:oneCellAnchor>
  <xdr:oneCellAnchor>
    <xdr:from>
      <xdr:col>27</xdr:col>
      <xdr:colOff>13607</xdr:colOff>
      <xdr:row>6</xdr:row>
      <xdr:rowOff>0</xdr:rowOff>
    </xdr:from>
    <xdr:ext cx="414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4692763" y="1333500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𝑁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𝑛</m:t>
                    </m:r>
                  </m:oMath>
                </m:oMathPara>
              </a14:m>
              <a:endParaRPr lang="es-ES" sz="1100" b="0"/>
            </a:p>
          </xdr:txBody>
        </xdr:sp>
      </mc:Choice>
      <mc:Fallback xmlns="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947E2FDD-E6F3-4535-94B9-61658D0C0D3F}"/>
                </a:ext>
              </a:extLst>
            </xdr:cNvPr>
            <xdr:cNvSpPr txBox="1"/>
          </xdr:nvSpPr>
          <xdr:spPr>
            <a:xfrm>
              <a:off x="4692763" y="1333500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𝑁=𝑛</a:t>
              </a:r>
              <a:endParaRPr lang="es-ES" sz="1100" b="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0</xdr:row>
          <xdr:rowOff>9525</xdr:rowOff>
        </xdr:from>
        <xdr:to>
          <xdr:col>19</xdr:col>
          <xdr:colOff>752475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 equilibrios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11906</xdr:colOff>
      <xdr:row>2</xdr:row>
      <xdr:rowOff>0</xdr:rowOff>
    </xdr:from>
    <xdr:to>
      <xdr:col>19</xdr:col>
      <xdr:colOff>750093</xdr:colOff>
      <xdr:row>4</xdr:row>
      <xdr:rowOff>154781</xdr:rowOff>
    </xdr:to>
    <xdr:grpSp>
      <xdr:nvGrpSpPr>
        <xdr:cNvPr id="22" name="Grup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12513469" y="571500"/>
          <a:ext cx="1523999" cy="535781"/>
          <a:chOff x="85725" y="771525"/>
          <a:chExt cx="1733550" cy="457200"/>
        </a:xfrm>
      </xdr:grpSpPr>
      <xdr:sp macro="" textlink="">
        <xdr:nvSpPr>
          <xdr:cNvPr id="24" name="Rectángulo: esquinas redondeadas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5" name="CuadroTexto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 txBox="1"/>
        </xdr:nvSpPr>
        <xdr:spPr>
          <a:xfrm>
            <a:off x="164461" y="893868"/>
            <a:ext cx="1590675" cy="295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1200"/>
              <a:t>INICIO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31750</xdr:rowOff>
    </xdr:from>
    <xdr:ext cx="12448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511969" y="603250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511969" y="603250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𝐷𝑒𝑚𝑎𝑛𝑑𝑎=𝐴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∙𝑃^(−𝜀)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13</xdr:col>
      <xdr:colOff>10583</xdr:colOff>
      <xdr:row>2</xdr:row>
      <xdr:rowOff>10583</xdr:rowOff>
    </xdr:from>
    <xdr:ext cx="12448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5344583" y="5820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5344583" y="5820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𝐷𝑒𝑚𝑎𝑛𝑑𝑎=𝐴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∙𝑃^(−𝜀)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0</xdr:colOff>
      <xdr:row>4</xdr:row>
      <xdr:rowOff>0</xdr:rowOff>
    </xdr:from>
    <xdr:ext cx="135357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SpPr txBox="1"/>
          </xdr:nvSpPr>
          <xdr:spPr>
            <a:xfrm>
              <a:off x="511969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𝑏𝑄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DB21FB9D-4014-49A2-858F-CCEF7A18ACDB}"/>
                </a:ext>
              </a:extLst>
            </xdr:cNvPr>
            <xdr:cNvSpPr txBox="1"/>
          </xdr:nvSpPr>
          <xdr:spPr>
            <a:xfrm>
              <a:off x="511969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Cmg=𝑎𝑄^2−𝑏𝑄+𝑐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4</xdr:row>
      <xdr:rowOff>0</xdr:rowOff>
    </xdr:from>
    <xdr:ext cx="135357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5334000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𝑏𝑄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 txBox="1"/>
          </xdr:nvSpPr>
          <xdr:spPr>
            <a:xfrm>
              <a:off x="5334000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Cmg=𝑎𝑄^2−𝑏𝑄+𝑐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4</xdr:row>
      <xdr:rowOff>0</xdr:rowOff>
    </xdr:from>
    <xdr:ext cx="135357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511969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𝑏𝑄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268DC793-2694-4870-BC52-098815BAEE49}"/>
                </a:ext>
              </a:extLst>
            </xdr:cNvPr>
            <xdr:cNvSpPr txBox="1"/>
          </xdr:nvSpPr>
          <xdr:spPr>
            <a:xfrm>
              <a:off x="511969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Cmg=𝑎𝑄^2−𝑏𝑄+𝑐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33</xdr:col>
      <xdr:colOff>10583</xdr:colOff>
      <xdr:row>2</xdr:row>
      <xdr:rowOff>10583</xdr:rowOff>
    </xdr:from>
    <xdr:ext cx="12448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4689739" y="5820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4689739" y="5820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𝐷𝑒𝑚𝑎𝑛𝑑𝑎=𝐴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∙𝑃^(−𝜀)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33</xdr:col>
      <xdr:colOff>0</xdr:colOff>
      <xdr:row>4</xdr:row>
      <xdr:rowOff>0</xdr:rowOff>
    </xdr:from>
    <xdr:ext cx="135357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4679156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𝑏𝑄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4679156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Cmg=𝑎𝑄^2−𝑏𝑄+𝑐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21</xdr:col>
      <xdr:colOff>11906</xdr:colOff>
      <xdr:row>2</xdr:row>
      <xdr:rowOff>11906</xdr:rowOff>
    </xdr:from>
    <xdr:ext cx="12448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1394281" y="583406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70E0C604-6EF8-42D7-B3E9-89708EBBE800}"/>
                </a:ext>
              </a:extLst>
            </xdr:cNvPr>
            <xdr:cNvSpPr txBox="1"/>
          </xdr:nvSpPr>
          <xdr:spPr>
            <a:xfrm>
              <a:off x="11394281" y="583406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𝐷𝑒𝑚𝑎𝑛𝑑𝑎=𝐴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∙𝑃^(−𝜀)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33</xdr:col>
      <xdr:colOff>153458</xdr:colOff>
      <xdr:row>6</xdr:row>
      <xdr:rowOff>58208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3858802" y="139170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AR" sz="1100"/>
        </a:p>
      </xdr:txBody>
    </xdr:sp>
    <xdr:clientData/>
  </xdr:oneCellAnchor>
  <xdr:oneCellAnchor>
    <xdr:from>
      <xdr:col>33</xdr:col>
      <xdr:colOff>11906</xdr:colOff>
      <xdr:row>5</xdr:row>
      <xdr:rowOff>107156</xdr:rowOff>
    </xdr:from>
    <xdr:ext cx="65" cy="172227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3717250" y="12501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AR" sz="1100"/>
        </a:p>
      </xdr:txBody>
    </xdr:sp>
    <xdr:clientData/>
  </xdr:oneCellAnchor>
  <xdr:oneCellAnchor>
    <xdr:from>
      <xdr:col>27</xdr:col>
      <xdr:colOff>10583</xdr:colOff>
      <xdr:row>2</xdr:row>
      <xdr:rowOff>10583</xdr:rowOff>
    </xdr:from>
    <xdr:ext cx="12448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18734012" y="5820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1F2A48D8-085D-4853-B824-8C9F27DFF5ED}"/>
                </a:ext>
              </a:extLst>
            </xdr:cNvPr>
            <xdr:cNvSpPr txBox="1"/>
          </xdr:nvSpPr>
          <xdr:spPr>
            <a:xfrm>
              <a:off x="18734012" y="5820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𝐷𝑒𝑚𝑎𝑛𝑑𝑎=𝐴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∙𝑃^(−𝜀)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27</xdr:col>
      <xdr:colOff>0</xdr:colOff>
      <xdr:row>4</xdr:row>
      <xdr:rowOff>0</xdr:rowOff>
    </xdr:from>
    <xdr:ext cx="135357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8723429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𝑏𝑄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83A501D1-1DA9-48BE-9A38-31BD53BD8BF6}"/>
                </a:ext>
              </a:extLst>
            </xdr:cNvPr>
            <xdr:cNvSpPr txBox="1"/>
          </xdr:nvSpPr>
          <xdr:spPr>
            <a:xfrm>
              <a:off x="18723429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Cmg=𝑎𝑄^2−𝑏𝑄+𝑐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27</xdr:col>
      <xdr:colOff>10583</xdr:colOff>
      <xdr:row>7</xdr:row>
      <xdr:rowOff>0</xdr:rowOff>
    </xdr:from>
    <xdr:ext cx="414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18734012" y="1524000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𝑁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𝑛</m:t>
                    </m:r>
                  </m:oMath>
                </m:oMathPara>
              </a14:m>
              <a:endParaRPr lang="es-ES" sz="1100" b="0"/>
            </a:p>
          </xdr:txBody>
        </xdr:sp>
      </mc:Choice>
      <mc:Fallback xmlns="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C2A1C3E-DA9F-4978-9CC3-6C707C263B0C}"/>
                </a:ext>
              </a:extLst>
            </xdr:cNvPr>
            <xdr:cNvSpPr txBox="1"/>
          </xdr:nvSpPr>
          <xdr:spPr>
            <a:xfrm>
              <a:off x="18734012" y="1524000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𝑁=𝑛</a:t>
              </a:r>
              <a:endParaRPr lang="es-ES" sz="1100" b="0"/>
            </a:p>
          </xdr:txBody>
        </xdr:sp>
      </mc:Fallback>
    </mc:AlternateContent>
    <xdr:clientData/>
  </xdr:oneCellAnchor>
  <xdr:oneCellAnchor>
    <xdr:from>
      <xdr:col>7</xdr:col>
      <xdr:colOff>10583</xdr:colOff>
      <xdr:row>2</xdr:row>
      <xdr:rowOff>10583</xdr:rowOff>
    </xdr:from>
    <xdr:ext cx="12448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8216940" y="5820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81956FBE-A13A-42C3-BD35-14D5A3506F66}"/>
                </a:ext>
              </a:extLst>
            </xdr:cNvPr>
            <xdr:cNvSpPr txBox="1"/>
          </xdr:nvSpPr>
          <xdr:spPr>
            <a:xfrm>
              <a:off x="18216940" y="5820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𝐷𝑒𝑚𝑎𝑛𝑑𝑎=𝐴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∙𝑃^(−𝜀)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7</xdr:col>
      <xdr:colOff>0</xdr:colOff>
      <xdr:row>4</xdr:row>
      <xdr:rowOff>0</xdr:rowOff>
    </xdr:from>
    <xdr:ext cx="135357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8206357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𝑏𝑄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AE4C3ABB-AD5D-44F7-9BAB-F00AF1563B8D}"/>
                </a:ext>
              </a:extLst>
            </xdr:cNvPr>
            <xdr:cNvSpPr txBox="1"/>
          </xdr:nvSpPr>
          <xdr:spPr>
            <a:xfrm>
              <a:off x="18206357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Cmg=𝑎𝑄^2−𝑏𝑄+𝑐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7</xdr:col>
      <xdr:colOff>10583</xdr:colOff>
      <xdr:row>7</xdr:row>
      <xdr:rowOff>0</xdr:rowOff>
    </xdr:from>
    <xdr:ext cx="414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 txBox="1"/>
          </xdr:nvSpPr>
          <xdr:spPr>
            <a:xfrm>
              <a:off x="18216940" y="1524000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𝑁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𝑛</m:t>
                    </m:r>
                  </m:oMath>
                </m:oMathPara>
              </a14:m>
              <a:endParaRPr lang="es-ES" sz="1100" b="0"/>
            </a:p>
          </xdr:txBody>
        </xdr:sp>
      </mc:Choice>
      <mc:Fallback xmlns="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73BFB39C-9965-4DD3-9DF2-A959A28452FE}"/>
                </a:ext>
              </a:extLst>
            </xdr:cNvPr>
            <xdr:cNvSpPr txBox="1"/>
          </xdr:nvSpPr>
          <xdr:spPr>
            <a:xfrm>
              <a:off x="18216940" y="1524000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𝑁=𝑛</a:t>
              </a:r>
              <a:endParaRPr lang="es-ES" sz="1100" b="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0</xdr:row>
          <xdr:rowOff>0</xdr:rowOff>
        </xdr:from>
        <xdr:to>
          <xdr:col>19</xdr:col>
          <xdr:colOff>752475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 equilibrios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11906</xdr:colOff>
      <xdr:row>2</xdr:row>
      <xdr:rowOff>0</xdr:rowOff>
    </xdr:from>
    <xdr:to>
      <xdr:col>19</xdr:col>
      <xdr:colOff>747448</xdr:colOff>
      <xdr:row>4</xdr:row>
      <xdr:rowOff>154781</xdr:rowOff>
    </xdr:to>
    <xdr:grpSp>
      <xdr:nvGrpSpPr>
        <xdr:cNvPr id="19" name="Grupo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pSpPr/>
      </xdr:nvGrpSpPr>
      <xdr:grpSpPr>
        <a:xfrm>
          <a:off x="12513469" y="571500"/>
          <a:ext cx="1521354" cy="535781"/>
          <a:chOff x="85725" y="771525"/>
          <a:chExt cx="1733550" cy="457200"/>
        </a:xfrm>
      </xdr:grpSpPr>
      <xdr:sp macro="" textlink="">
        <xdr:nvSpPr>
          <xdr:cNvPr id="20" name="Rectángulo: esquinas redondeadas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1" name="CuadroTexto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 txBox="1"/>
        </xdr:nvSpPr>
        <xdr:spPr>
          <a:xfrm>
            <a:off x="164461" y="893868"/>
            <a:ext cx="1590675" cy="295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1200"/>
              <a:t>INICIO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10583</xdr:colOff>
      <xdr:row>1</xdr:row>
      <xdr:rowOff>10583</xdr:rowOff>
    </xdr:from>
    <xdr:ext cx="12448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4677833" y="5820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4677833" y="5820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𝐷𝑒𝑚𝑎𝑛𝑑𝑎=𝐴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∙𝑃^(−𝜀)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0</xdr:colOff>
      <xdr:row>3</xdr:row>
      <xdr:rowOff>0</xdr:rowOff>
    </xdr:from>
    <xdr:ext cx="135357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4667250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𝑏𝑄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4667250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Cmg=𝑎𝑄^2−𝑏𝑄+𝑐</a:t>
              </a:r>
              <a:endParaRPr lang="es-AR" sz="1100"/>
            </a:p>
          </xdr:txBody>
        </xdr:sp>
      </mc:Fallback>
    </mc:AlternateContent>
    <xdr:clientData/>
  </xdr:oneCellAnchor>
  <xdr:twoCellAnchor>
    <xdr:from>
      <xdr:col>12</xdr:col>
      <xdr:colOff>222250</xdr:colOff>
      <xdr:row>0</xdr:row>
      <xdr:rowOff>1</xdr:rowOff>
    </xdr:from>
    <xdr:to>
      <xdr:col>17</xdr:col>
      <xdr:colOff>12250</xdr:colOff>
      <xdr:row>8</xdr:row>
      <xdr:rowOff>176893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224518</xdr:colOff>
      <xdr:row>9</xdr:row>
      <xdr:rowOff>176892</xdr:rowOff>
    </xdr:from>
    <xdr:to>
      <xdr:col>17</xdr:col>
      <xdr:colOff>14518</xdr:colOff>
      <xdr:row>18</xdr:row>
      <xdr:rowOff>149679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240390</xdr:colOff>
      <xdr:row>19</xdr:row>
      <xdr:rowOff>185662</xdr:rowOff>
    </xdr:from>
    <xdr:to>
      <xdr:col>17</xdr:col>
      <xdr:colOff>30390</xdr:colOff>
      <xdr:row>28</xdr:row>
      <xdr:rowOff>163286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206375</xdr:colOff>
      <xdr:row>0</xdr:row>
      <xdr:rowOff>0</xdr:rowOff>
    </xdr:from>
    <xdr:to>
      <xdr:col>27</xdr:col>
      <xdr:colOff>758375</xdr:colOff>
      <xdr:row>8</xdr:row>
      <xdr:rowOff>176892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199572</xdr:colOff>
      <xdr:row>9</xdr:row>
      <xdr:rowOff>195491</xdr:rowOff>
    </xdr:from>
    <xdr:to>
      <xdr:col>27</xdr:col>
      <xdr:colOff>751572</xdr:colOff>
      <xdr:row>18</xdr:row>
      <xdr:rowOff>163286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219981</xdr:colOff>
      <xdr:row>19</xdr:row>
      <xdr:rowOff>181882</xdr:rowOff>
    </xdr:from>
    <xdr:to>
      <xdr:col>28</xdr:col>
      <xdr:colOff>9981</xdr:colOff>
      <xdr:row>28</xdr:row>
      <xdr:rowOff>163286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1</xdr:col>
      <xdr:colOff>10583</xdr:colOff>
      <xdr:row>6</xdr:row>
      <xdr:rowOff>0</xdr:rowOff>
    </xdr:from>
    <xdr:ext cx="414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524933" y="1143000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𝑁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𝑛</m:t>
                    </m:r>
                  </m:oMath>
                </m:oMathPara>
              </a14:m>
              <a:endParaRPr lang="es-ES" sz="1100" b="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79082CEB-1E10-4C36-8E46-807C5C8876F0}"/>
                </a:ext>
              </a:extLst>
            </xdr:cNvPr>
            <xdr:cNvSpPr txBox="1"/>
          </xdr:nvSpPr>
          <xdr:spPr>
            <a:xfrm>
              <a:off x="524933" y="1143000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𝑁=𝑛</a:t>
              </a:r>
              <a:endParaRPr lang="es-ES" sz="1100" b="0"/>
            </a:p>
          </xdr:txBody>
        </xdr:sp>
      </mc:Fallback>
    </mc:AlternateContent>
    <xdr:clientData/>
  </xdr:oneCellAnchor>
  <xdr:twoCellAnchor>
    <xdr:from>
      <xdr:col>34</xdr:col>
      <xdr:colOff>197303</xdr:colOff>
      <xdr:row>0</xdr:row>
      <xdr:rowOff>0</xdr:rowOff>
    </xdr:from>
    <xdr:to>
      <xdr:col>38</xdr:col>
      <xdr:colOff>749303</xdr:colOff>
      <xdr:row>8</xdr:row>
      <xdr:rowOff>160565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19</xdr:row>
          <xdr:rowOff>76200</xdr:rowOff>
        </xdr:from>
        <xdr:to>
          <xdr:col>4</xdr:col>
          <xdr:colOff>752475</xdr:colOff>
          <xdr:row>22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 equilibrios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7</xdr:row>
          <xdr:rowOff>38100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Sensibilidad elasticidad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57150</xdr:rowOff>
        </xdr:from>
        <xdr:to>
          <xdr:col>11</xdr:col>
          <xdr:colOff>752475</xdr:colOff>
          <xdr:row>18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Sensibilidad impuesto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27</xdr:row>
          <xdr:rowOff>57150</xdr:rowOff>
        </xdr:from>
        <xdr:to>
          <xdr:col>12</xdr:col>
          <xdr:colOff>0</xdr:colOff>
          <xdr:row>29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Sensibilidad tamaño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</xdr:row>
          <xdr:rowOff>38100</xdr:rowOff>
        </xdr:from>
        <xdr:to>
          <xdr:col>20</xdr:col>
          <xdr:colOff>9525</xdr:colOff>
          <xdr:row>8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Sensibilidad costo cuadratico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17</xdr:row>
          <xdr:rowOff>57150</xdr:rowOff>
        </xdr:from>
        <xdr:to>
          <xdr:col>20</xdr:col>
          <xdr:colOff>0</xdr:colOff>
          <xdr:row>18</xdr:row>
          <xdr:rowOff>152400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Sensibilidad costo lineal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27</xdr:row>
          <xdr:rowOff>57150</xdr:rowOff>
        </xdr:from>
        <xdr:to>
          <xdr:col>20</xdr:col>
          <xdr:colOff>9525</xdr:colOff>
          <xdr:row>28</xdr:row>
          <xdr:rowOff>161925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Sensibilidad costo constante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7</xdr:row>
          <xdr:rowOff>66675</xdr:rowOff>
        </xdr:from>
        <xdr:to>
          <xdr:col>31</xdr:col>
          <xdr:colOff>9525</xdr:colOff>
          <xdr:row>8</xdr:row>
          <xdr:rowOff>152400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Sensibilidad firmas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762000</xdr:colOff>
      <xdr:row>22</xdr:row>
      <xdr:rowOff>176893</xdr:rowOff>
    </xdr:from>
    <xdr:to>
      <xdr:col>3</xdr:col>
      <xdr:colOff>734784</xdr:colOff>
      <xdr:row>25</xdr:row>
      <xdr:rowOff>141174</xdr:rowOff>
    </xdr:to>
    <xdr:grpSp>
      <xdr:nvGrpSpPr>
        <xdr:cNvPr id="15" name="Grup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pSpPr/>
      </xdr:nvGrpSpPr>
      <xdr:grpSpPr>
        <a:xfrm>
          <a:off x="1279071" y="4367893"/>
          <a:ext cx="1523999" cy="535781"/>
          <a:chOff x="85725" y="771525"/>
          <a:chExt cx="1733550" cy="457200"/>
        </a:xfrm>
      </xdr:grpSpPr>
      <xdr:sp macro="" textlink="">
        <xdr:nvSpPr>
          <xdr:cNvPr id="16" name="Rectángulo: esquinas redondeadas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 txBox="1"/>
        </xdr:nvSpPr>
        <xdr:spPr>
          <a:xfrm>
            <a:off x="164461" y="893868"/>
            <a:ext cx="1590675" cy="295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1200"/>
              <a:t>INICIO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125701</xdr:colOff>
      <xdr:row>2</xdr:row>
      <xdr:rowOff>189346</xdr:rowOff>
    </xdr:from>
    <xdr:to>
      <xdr:col>9</xdr:col>
      <xdr:colOff>18544</xdr:colOff>
      <xdr:row>8</xdr:row>
      <xdr:rowOff>153628</xdr:rowOff>
    </xdr:to>
    <xdr:grpSp>
      <xdr:nvGrpSpPr>
        <xdr:cNvPr id="36" name="Grup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pSpPr/>
      </xdr:nvGrpSpPr>
      <xdr:grpSpPr>
        <a:xfrm>
          <a:off x="4697701" y="570346"/>
          <a:ext cx="2178843" cy="1107282"/>
          <a:chOff x="78081" y="766485"/>
          <a:chExt cx="1748673" cy="468749"/>
        </a:xfrm>
      </xdr:grpSpPr>
      <xdr:sp macro="" textlink="">
        <xdr:nvSpPr>
          <xdr:cNvPr id="37" name="Rectángulo: esquinas redondeadas 36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  <a:solidFill>
            <a:srgbClr val="4472C4"/>
          </a:solidFill>
          <a:ln w="12700" cap="flat" cmpd="sng" algn="ctr">
            <a:solidFill>
              <a:srgbClr val="4472C4">
                <a:shade val="15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A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8" name="CuadroTexto 37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 txBox="1"/>
        </xdr:nvSpPr>
        <xdr:spPr>
          <a:xfrm>
            <a:off x="78081" y="766485"/>
            <a:ext cx="1748673" cy="4687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AR" sz="12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INICIO</a:t>
            </a:r>
          </a:p>
        </xdr:txBody>
      </xdr:sp>
    </xdr:grpSp>
    <xdr:clientData/>
  </xdr:twoCellAnchor>
  <xdr:twoCellAnchor>
    <xdr:from>
      <xdr:col>2</xdr:col>
      <xdr:colOff>467013</xdr:colOff>
      <xdr:row>9</xdr:row>
      <xdr:rowOff>165386</xdr:rowOff>
    </xdr:from>
    <xdr:to>
      <xdr:col>5</xdr:col>
      <xdr:colOff>341013</xdr:colOff>
      <xdr:row>15</xdr:row>
      <xdr:rowOff>103475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1991013" y="1879886"/>
          <a:ext cx="2160000" cy="1081089"/>
          <a:chOff x="1358899" y="1628772"/>
          <a:chExt cx="2160000" cy="1081089"/>
        </a:xfrm>
      </xdr:grpSpPr>
      <xdr:grpSp>
        <xdr:nvGrpSpPr>
          <xdr:cNvPr id="39" name="Grupo 3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GrpSpPr/>
        </xdr:nvGrpSpPr>
        <xdr:grpSpPr>
          <a:xfrm>
            <a:off x="1358899" y="1628772"/>
            <a:ext cx="2160000" cy="1081089"/>
            <a:chOff x="85725" y="771525"/>
            <a:chExt cx="1733550" cy="457661"/>
          </a:xfrm>
        </xdr:grpSpPr>
        <xdr:sp macro="" textlink="">
          <xdr:nvSpPr>
            <xdr:cNvPr id="40" name="Rectángulo: esquinas redondeadas 39">
              <a:extLst>
                <a:ext uri="{FF2B5EF4-FFF2-40B4-BE49-F238E27FC236}">
                  <a16:creationId xmlns:a16="http://schemas.microsoft.com/office/drawing/2014/main" id="{00000000-0008-0000-0400-000028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  <a:solidFill>
              <a:srgbClr val="4472C4"/>
            </a:solidFill>
            <a:ln w="12700" cap="flat" cmpd="sng" algn="ctr">
              <a:solidFill>
                <a:srgbClr val="4472C4">
                  <a:shade val="15000"/>
                </a:srgbClr>
              </a:solidFill>
              <a:prstDash val="solid"/>
              <a:miter lim="800000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s-A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00000000-0008-0000-0400-000029000000}"/>
                </a:ext>
              </a:extLst>
            </xdr:cNvPr>
            <xdr:cNvSpPr txBox="1"/>
          </xdr:nvSpPr>
          <xdr:spPr>
            <a:xfrm>
              <a:off x="85726" y="775558"/>
              <a:ext cx="1720007" cy="453628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AR" sz="12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PRODUCTOS HOMOGENEOS</a:t>
              </a:r>
            </a:p>
          </xdr:txBody>
        </xdr:sp>
      </xdr:grpSp>
      <xdr:sp macro="" textlink="">
        <xdr:nvSpPr>
          <xdr:cNvPr id="2" name="CuadroTexto 1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SpPr txBox="1"/>
        </xdr:nvSpPr>
        <xdr:spPr>
          <a:xfrm>
            <a:off x="1611312" y="2301875"/>
            <a:ext cx="1670455" cy="2321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900">
                <a:solidFill>
                  <a:schemeClr val="tx1">
                    <a:lumMod val="75000"/>
                    <a:lumOff val="25000"/>
                  </a:schemeClr>
                </a:solidFill>
              </a:rPr>
              <a:t>Cournot</a:t>
            </a:r>
          </a:p>
        </xdr:txBody>
      </xdr:sp>
    </xdr:grpSp>
    <xdr:clientData/>
  </xdr:twoCellAnchor>
  <xdr:twoCellAnchor>
    <xdr:from>
      <xdr:col>6</xdr:col>
      <xdr:colOff>161419</xdr:colOff>
      <xdr:row>9</xdr:row>
      <xdr:rowOff>158314</xdr:rowOff>
    </xdr:from>
    <xdr:to>
      <xdr:col>9</xdr:col>
      <xdr:colOff>35419</xdr:colOff>
      <xdr:row>15</xdr:row>
      <xdr:rowOff>95314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pSpPr/>
      </xdr:nvGrpSpPr>
      <xdr:grpSpPr>
        <a:xfrm>
          <a:off x="4733419" y="1872814"/>
          <a:ext cx="2160000" cy="1080000"/>
          <a:chOff x="4733419" y="1872814"/>
          <a:chExt cx="2160000" cy="1080000"/>
        </a:xfrm>
      </xdr:grpSpPr>
      <xdr:grpSp>
        <xdr:nvGrpSpPr>
          <xdr:cNvPr id="43" name="Grupo 4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GrpSpPr/>
        </xdr:nvGrpSpPr>
        <xdr:grpSpPr>
          <a:xfrm>
            <a:off x="4733419" y="1872814"/>
            <a:ext cx="2160000" cy="1080000"/>
            <a:chOff x="85725" y="771525"/>
            <a:chExt cx="1733550" cy="457200"/>
          </a:xfrm>
        </xdr:grpSpPr>
        <xdr:sp macro="" textlink="">
          <xdr:nvSpPr>
            <xdr:cNvPr id="45" name="Rectángulo: esquinas redondeadas 44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  <a:solidFill>
              <a:srgbClr val="4472C4"/>
            </a:solidFill>
            <a:ln w="12700" cap="flat" cmpd="sng" algn="ctr">
              <a:solidFill>
                <a:srgbClr val="4472C4">
                  <a:shade val="15000"/>
                </a:srgbClr>
              </a:solidFill>
              <a:prstDash val="solid"/>
              <a:miter lim="800000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s-A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85725" y="771526"/>
              <a:ext cx="1729563" cy="45564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AR" sz="12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PRODUCTOS DIFERENCIADOS</a:t>
              </a:r>
            </a:p>
          </xdr:txBody>
        </xdr:sp>
      </xdr:grpSp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 txBox="1"/>
        </xdr:nvSpPr>
        <xdr:spPr>
          <a:xfrm>
            <a:off x="4969596" y="2514744"/>
            <a:ext cx="1670455" cy="23211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A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Bertrand</a:t>
            </a:r>
          </a:p>
        </xdr:txBody>
      </xdr:sp>
    </xdr:grpSp>
    <xdr:clientData/>
  </xdr:twoCellAnchor>
  <xdr:twoCellAnchor>
    <xdr:from>
      <xdr:col>9</xdr:col>
      <xdr:colOff>592427</xdr:colOff>
      <xdr:row>9</xdr:row>
      <xdr:rowOff>146484</xdr:rowOff>
    </xdr:from>
    <xdr:to>
      <xdr:col>12</xdr:col>
      <xdr:colOff>466427</xdr:colOff>
      <xdr:row>15</xdr:row>
      <xdr:rowOff>98862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7450427" y="1860984"/>
          <a:ext cx="2160000" cy="1095378"/>
          <a:chOff x="7450427" y="1860984"/>
          <a:chExt cx="2160000" cy="1095378"/>
        </a:xfrm>
      </xdr:grpSpPr>
      <xdr:grpSp>
        <xdr:nvGrpSpPr>
          <xdr:cNvPr id="47" name="Grupo 4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2F000000}"/>
              </a:ext>
            </a:extLst>
          </xdr:cNvPr>
          <xdr:cNvGrpSpPr/>
        </xdr:nvGrpSpPr>
        <xdr:grpSpPr>
          <a:xfrm>
            <a:off x="7450427" y="1860984"/>
            <a:ext cx="2160000" cy="1095378"/>
            <a:chOff x="85725" y="771525"/>
            <a:chExt cx="1733550" cy="463710"/>
          </a:xfrm>
        </xdr:grpSpPr>
        <xdr:sp macro="" textlink="">
          <xdr:nvSpPr>
            <xdr:cNvPr id="48" name="Rectángulo: esquinas redondeadas 47">
              <a:extLst>
                <a:ext uri="{FF2B5EF4-FFF2-40B4-BE49-F238E27FC236}">
                  <a16:creationId xmlns:a16="http://schemas.microsoft.com/office/drawing/2014/main" id="{00000000-0008-0000-0400-000030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  <a:solidFill>
              <a:srgbClr val="4472C4"/>
            </a:solidFill>
            <a:ln w="12700" cap="flat" cmpd="sng" algn="ctr">
              <a:solidFill>
                <a:srgbClr val="4472C4">
                  <a:shade val="15000"/>
                </a:srgbClr>
              </a:solidFill>
              <a:prstDash val="solid"/>
              <a:miter lim="800000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s-A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00000000-0008-0000-0400-000031000000}"/>
                </a:ext>
              </a:extLst>
            </xdr:cNvPr>
            <xdr:cNvSpPr txBox="1"/>
          </xdr:nvSpPr>
          <xdr:spPr>
            <a:xfrm>
              <a:off x="85725" y="771526"/>
              <a:ext cx="1729563" cy="463709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AR" sz="12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EFECTOS SOBRE PRECIOS</a:t>
              </a:r>
            </a:p>
          </xdr:txBody>
        </xdr:sp>
      </xdr:grpSp>
      <xdr:sp macro="" textlink="">
        <xdr:nvSpPr>
          <xdr:cNvPr id="6" name="CuadroTexto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/>
        </xdr:nvSpPr>
        <xdr:spPr>
          <a:xfrm>
            <a:off x="7689273" y="2560205"/>
            <a:ext cx="1670455" cy="23211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A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CMCR, GUPPI, UPP e IPR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10583</xdr:colOff>
      <xdr:row>1</xdr:row>
      <xdr:rowOff>10583</xdr:rowOff>
    </xdr:from>
    <xdr:ext cx="12448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524933" y="2010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E4805784-0B83-47B0-932D-5398C51C42D8}"/>
                </a:ext>
              </a:extLst>
            </xdr:cNvPr>
            <xdr:cNvSpPr txBox="1"/>
          </xdr:nvSpPr>
          <xdr:spPr>
            <a:xfrm>
              <a:off x="524933" y="2010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𝐷𝑒𝑚𝑎𝑛𝑑𝑎=𝐴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∙𝑃^(−𝜀)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0</xdr:colOff>
      <xdr:row>3</xdr:row>
      <xdr:rowOff>0</xdr:rowOff>
    </xdr:from>
    <xdr:ext cx="135357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514350" y="571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𝑏𝑄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8A58A42C-47B8-4EEE-A6C3-3897FDD0EBEA}"/>
                </a:ext>
              </a:extLst>
            </xdr:cNvPr>
            <xdr:cNvSpPr txBox="1"/>
          </xdr:nvSpPr>
          <xdr:spPr>
            <a:xfrm>
              <a:off x="514350" y="571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Cmg=𝑎𝑄^2−𝑏𝑄+𝑐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8</xdr:col>
      <xdr:colOff>10583</xdr:colOff>
      <xdr:row>1</xdr:row>
      <xdr:rowOff>21166</xdr:rowOff>
    </xdr:from>
    <xdr:ext cx="12448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 txBox="1"/>
          </xdr:nvSpPr>
          <xdr:spPr>
            <a:xfrm>
              <a:off x="4984750" y="412749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E0049469-E1F4-41C6-9F1B-AA867849FBB1}"/>
                </a:ext>
              </a:extLst>
            </xdr:cNvPr>
            <xdr:cNvSpPr txBox="1"/>
          </xdr:nvSpPr>
          <xdr:spPr>
            <a:xfrm>
              <a:off x="4984750" y="412749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𝐷𝑒𝑚𝑎𝑛𝑑𝑎=𝐴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∙𝑃^(−𝜀)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8</xdr:col>
      <xdr:colOff>10583</xdr:colOff>
      <xdr:row>3</xdr:row>
      <xdr:rowOff>21166</xdr:rowOff>
    </xdr:from>
    <xdr:ext cx="135357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 txBox="1"/>
          </xdr:nvSpPr>
          <xdr:spPr>
            <a:xfrm>
              <a:off x="4984750" y="804333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𝑏𝑄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D6530191-1A3F-47CB-BAB4-D779EC6AED82}"/>
                </a:ext>
              </a:extLst>
            </xdr:cNvPr>
            <xdr:cNvSpPr txBox="1"/>
          </xdr:nvSpPr>
          <xdr:spPr>
            <a:xfrm>
              <a:off x="4984750" y="804333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Cmg=𝑎𝑄^2−𝑏𝑄+𝑐</a:t>
              </a:r>
              <a:endParaRPr lang="es-A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13</xdr:row>
          <xdr:rowOff>57150</xdr:rowOff>
        </xdr:from>
        <xdr:to>
          <xdr:col>17</xdr:col>
          <xdr:colOff>714375</xdr:colOff>
          <xdr:row>17</xdr:row>
          <xdr:rowOff>9525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 equilibrios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381000</xdr:colOff>
      <xdr:row>17</xdr:row>
      <xdr:rowOff>154782</xdr:rowOff>
    </xdr:from>
    <xdr:to>
      <xdr:col>17</xdr:col>
      <xdr:colOff>333374</xdr:colOff>
      <xdr:row>20</xdr:row>
      <xdr:rowOff>95250</xdr:rowOff>
    </xdr:to>
    <xdr:grpSp>
      <xdr:nvGrpSpPr>
        <xdr:cNvPr id="4" name="Grup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10358438" y="3464720"/>
          <a:ext cx="1523999" cy="523874"/>
          <a:chOff x="85725" y="771525"/>
          <a:chExt cx="1733550" cy="457200"/>
        </a:xfrm>
      </xdr:grpSpPr>
      <xdr:sp macro="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6" name="CuadroTexto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 txBox="1"/>
        </xdr:nvSpPr>
        <xdr:spPr>
          <a:xfrm>
            <a:off x="164461" y="893868"/>
            <a:ext cx="1590675" cy="295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1200"/>
              <a:t>ATRAS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10583</xdr:colOff>
      <xdr:row>1</xdr:row>
      <xdr:rowOff>10583</xdr:rowOff>
    </xdr:from>
    <xdr:ext cx="2166619" cy="1896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SpPr txBox="1"/>
          </xdr:nvSpPr>
          <xdr:spPr>
            <a:xfrm>
              <a:off x="522552" y="201083"/>
              <a:ext cx="2166619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  <m:sup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𝜖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b>
                      <m:sup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𝜖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sub>
                        </m:sSub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</m:t>
                        </m:r>
                      </m:sub>
                      <m:sup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𝜖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</m:sub>
                        </m:sSub>
                      </m:sup>
                    </m:sSub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C724C07-F36F-4691-85D8-59AF1167ADEB}"/>
                </a:ext>
              </a:extLst>
            </xdr:cNvPr>
            <xdr:cNvSpPr txBox="1"/>
          </xdr:nvSpPr>
          <xdr:spPr>
            <a:xfrm>
              <a:off x="522552" y="201083"/>
              <a:ext cx="2166619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𝐷𝑒𝑚𝑎𝑛𝑑𝑎=𝐴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∙𝑃_1^(−𝜀)∙𝑃_2^(𝜖_2 )∙𝑃_3^(𝜖_3 )∙𝑃_4^(𝜖_4 )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0</xdr:colOff>
      <xdr:row>6</xdr:row>
      <xdr:rowOff>0</xdr:rowOff>
    </xdr:from>
    <xdr:ext cx="5514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SpPr txBox="1"/>
          </xdr:nvSpPr>
          <xdr:spPr>
            <a:xfrm>
              <a:off x="511969" y="1154906"/>
              <a:ext cx="5514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8AB337B-9128-46DB-9626-3FAF3EA9F253}"/>
                </a:ext>
              </a:extLst>
            </xdr:cNvPr>
            <xdr:cNvSpPr txBox="1"/>
          </xdr:nvSpPr>
          <xdr:spPr>
            <a:xfrm>
              <a:off x="511969" y="1154906"/>
              <a:ext cx="5514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9</xdr:col>
      <xdr:colOff>10583</xdr:colOff>
      <xdr:row>3</xdr:row>
      <xdr:rowOff>21166</xdr:rowOff>
    </xdr:from>
    <xdr:ext cx="5514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SpPr txBox="1"/>
          </xdr:nvSpPr>
          <xdr:spPr>
            <a:xfrm>
              <a:off x="6249458" y="592666"/>
              <a:ext cx="5514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37AD6F0F-F95B-4DC3-AA8C-A70B87EA318D}"/>
                </a:ext>
              </a:extLst>
            </xdr:cNvPr>
            <xdr:cNvSpPr txBox="1"/>
          </xdr:nvSpPr>
          <xdr:spPr>
            <a:xfrm>
              <a:off x="6249458" y="592666"/>
              <a:ext cx="5514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Cmg=𝑐</a:t>
              </a:r>
              <a:endParaRPr lang="es-A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21</xdr:row>
          <xdr:rowOff>57150</xdr:rowOff>
        </xdr:from>
        <xdr:to>
          <xdr:col>19</xdr:col>
          <xdr:colOff>714375</xdr:colOff>
          <xdr:row>25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 equilibrios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381000</xdr:colOff>
      <xdr:row>22</xdr:row>
      <xdr:rowOff>83344</xdr:rowOff>
    </xdr:from>
    <xdr:to>
      <xdr:col>12</xdr:col>
      <xdr:colOff>571499</xdr:colOff>
      <xdr:row>25</xdr:row>
      <xdr:rowOff>23812</xdr:rowOff>
    </xdr:to>
    <xdr:grpSp>
      <xdr:nvGrpSpPr>
        <xdr:cNvPr id="6" name="Grup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7417594" y="4441032"/>
          <a:ext cx="1762124" cy="511968"/>
          <a:chOff x="85725" y="771525"/>
          <a:chExt cx="1733550" cy="457200"/>
        </a:xfrm>
      </xdr:grpSpPr>
      <xdr:sp macro="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" name="CuadroTexto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 txBox="1"/>
        </xdr:nvSpPr>
        <xdr:spPr>
          <a:xfrm>
            <a:off x="164461" y="893868"/>
            <a:ext cx="1590675" cy="295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1200"/>
              <a:t>ATRAS</a:t>
            </a:r>
          </a:p>
        </xdr:txBody>
      </xdr:sp>
    </xdr:grpSp>
    <xdr:clientData/>
  </xdr:twoCellAnchor>
  <xdr:oneCellAnchor>
    <xdr:from>
      <xdr:col>9</xdr:col>
      <xdr:colOff>0</xdr:colOff>
      <xdr:row>1</xdr:row>
      <xdr:rowOff>0</xdr:rowOff>
    </xdr:from>
    <xdr:ext cx="2166619" cy="1896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:cNvPr>
            <xdr:cNvSpPr txBox="1"/>
          </xdr:nvSpPr>
          <xdr:spPr>
            <a:xfrm>
              <a:off x="6381750" y="190500"/>
              <a:ext cx="2166619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  <m:sup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𝜖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b>
                      <m:sup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𝜖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sub>
                        </m:sSub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</m:t>
                        </m:r>
                      </m:sub>
                      <m:sup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𝜖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</m:sub>
                        </m:sSub>
                      </m:sup>
                    </m:sSub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AAE2D80F-9FA2-4B3E-A57D-7B305A717110}"/>
                </a:ext>
              </a:extLst>
            </xdr:cNvPr>
            <xdr:cNvSpPr txBox="1"/>
          </xdr:nvSpPr>
          <xdr:spPr>
            <a:xfrm>
              <a:off x="6381750" y="190500"/>
              <a:ext cx="2166619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𝐷𝑒𝑚𝑎𝑛𝑑𝑎=𝐴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∙𝑃_1^(−𝜀)∙𝑃_2^(𝜖_2 )∙𝑃_3^(𝜖_3 )∙𝑃_4^(𝜖_4 )</a:t>
              </a:r>
              <a:endParaRPr lang="es-AR" sz="1100"/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10583</xdr:colOff>
      <xdr:row>1</xdr:row>
      <xdr:rowOff>10583</xdr:rowOff>
    </xdr:from>
    <xdr:ext cx="2166619" cy="1896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SpPr txBox="1"/>
          </xdr:nvSpPr>
          <xdr:spPr>
            <a:xfrm>
              <a:off x="524933" y="201083"/>
              <a:ext cx="2166619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  <m:sup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𝜖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b>
                      <m:sup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𝜖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sub>
                        </m:sSub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</m:t>
                        </m:r>
                      </m:sub>
                      <m:sup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𝜖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</m:sub>
                        </m:sSub>
                      </m:sup>
                    </m:sSub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BBAF7645-4E39-43F3-9B3E-9F68B271997A}"/>
                </a:ext>
              </a:extLst>
            </xdr:cNvPr>
            <xdr:cNvSpPr txBox="1"/>
          </xdr:nvSpPr>
          <xdr:spPr>
            <a:xfrm>
              <a:off x="524933" y="201083"/>
              <a:ext cx="2166619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𝐷𝑒𝑚𝑎𝑛𝑑𝑎=𝐴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∙𝑃_1^(−𝜀)∙𝑃_2^(𝜖_2 )∙𝑃_3^(𝜖_3 )∙𝑃_4^(𝜖_4 )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0</xdr:colOff>
      <xdr:row>6</xdr:row>
      <xdr:rowOff>0</xdr:rowOff>
    </xdr:from>
    <xdr:ext cx="5514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SpPr txBox="1"/>
          </xdr:nvSpPr>
          <xdr:spPr>
            <a:xfrm>
              <a:off x="514350" y="1143000"/>
              <a:ext cx="5514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1575F1C-8F46-4669-80B5-CDD0C8D640FD}"/>
                </a:ext>
              </a:extLst>
            </xdr:cNvPr>
            <xdr:cNvSpPr txBox="1"/>
          </xdr:nvSpPr>
          <xdr:spPr>
            <a:xfrm>
              <a:off x="514350" y="1143000"/>
              <a:ext cx="5514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Cmg=𝑐</a:t>
              </a:r>
              <a:endParaRPr lang="es-AR" sz="1100"/>
            </a:p>
          </xdr:txBody>
        </xdr:sp>
      </mc:Fallback>
    </mc:AlternateContent>
    <xdr:clientData/>
  </xdr:oneCellAnchor>
  <xdr:twoCellAnchor>
    <xdr:from>
      <xdr:col>3</xdr:col>
      <xdr:colOff>539749</xdr:colOff>
      <xdr:row>20</xdr:row>
      <xdr:rowOff>84667</xdr:rowOff>
    </xdr:from>
    <xdr:to>
      <xdr:col>5</xdr:col>
      <xdr:colOff>735540</xdr:colOff>
      <xdr:row>23</xdr:row>
      <xdr:rowOff>25135</xdr:rowOff>
    </xdr:to>
    <xdr:grpSp>
      <xdr:nvGrpSpPr>
        <xdr:cNvPr id="7" name="Grup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pSpPr/>
      </xdr:nvGrpSpPr>
      <xdr:grpSpPr>
        <a:xfrm>
          <a:off x="2623343" y="3942292"/>
          <a:ext cx="1767416" cy="511968"/>
          <a:chOff x="85725" y="771525"/>
          <a:chExt cx="1733550" cy="457200"/>
        </a:xfrm>
      </xdr:grpSpPr>
      <xdr:sp macro="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  <a:solidFill>
            <a:srgbClr val="4472C4"/>
          </a:solidFill>
          <a:ln w="12700" cap="flat" cmpd="sng" algn="ctr">
            <a:solidFill>
              <a:srgbClr val="4472C4">
                <a:shade val="15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A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 txBox="1"/>
        </xdr:nvSpPr>
        <xdr:spPr>
          <a:xfrm>
            <a:off x="164461" y="893868"/>
            <a:ext cx="1590675" cy="2952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AR" sz="12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ATRAS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20</xdr:row>
          <xdr:rowOff>104775</xdr:rowOff>
        </xdr:from>
        <xdr:to>
          <xdr:col>3</xdr:col>
          <xdr:colOff>438150</xdr:colOff>
          <xdr:row>23</xdr:row>
          <xdr:rowOff>9525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7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 equilibrios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10583</xdr:colOff>
      <xdr:row>1</xdr:row>
      <xdr:rowOff>10583</xdr:rowOff>
    </xdr:from>
    <xdr:ext cx="14410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SpPr txBox="1"/>
          </xdr:nvSpPr>
          <xdr:spPr>
            <a:xfrm>
              <a:off x="529166" y="201083"/>
              <a:ext cx="14410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B56F5941-9533-498B-8215-97F2AAC95508}"/>
                </a:ext>
              </a:extLst>
            </xdr:cNvPr>
            <xdr:cNvSpPr txBox="1"/>
          </xdr:nvSpPr>
          <xdr:spPr>
            <a:xfrm>
              <a:off x="529166" y="201083"/>
              <a:ext cx="14410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𝐷𝑒𝑚𝑎𝑛𝑑𝑎_𝑖=𝐴_𝑖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∙〖𝑃_𝑖〗^(−𝜀_𝑖 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0</xdr:colOff>
      <xdr:row>5</xdr:row>
      <xdr:rowOff>0</xdr:rowOff>
    </xdr:from>
    <xdr:ext cx="135357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SpPr txBox="1"/>
          </xdr:nvSpPr>
          <xdr:spPr>
            <a:xfrm>
              <a:off x="514350" y="571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𝑏𝑄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AED8D51B-608A-4C29-91E0-41FE44A16669}"/>
                </a:ext>
              </a:extLst>
            </xdr:cNvPr>
            <xdr:cNvSpPr txBox="1"/>
          </xdr:nvSpPr>
          <xdr:spPr>
            <a:xfrm>
              <a:off x="514350" y="571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Cmg=𝑎𝑄^2−𝑏𝑄+𝑐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9</xdr:col>
      <xdr:colOff>10583</xdr:colOff>
      <xdr:row>1</xdr:row>
      <xdr:rowOff>10583</xdr:rowOff>
    </xdr:from>
    <xdr:ext cx="14410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SpPr txBox="1"/>
          </xdr:nvSpPr>
          <xdr:spPr>
            <a:xfrm>
              <a:off x="529166" y="201083"/>
              <a:ext cx="14410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2CE5D6FB-4E5E-42AE-893C-8A67DDA5B185}"/>
                </a:ext>
              </a:extLst>
            </xdr:cNvPr>
            <xdr:cNvSpPr txBox="1"/>
          </xdr:nvSpPr>
          <xdr:spPr>
            <a:xfrm>
              <a:off x="529166" y="201083"/>
              <a:ext cx="14410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𝐷𝑒𝑚𝑎𝑛𝑑𝑎_𝑖=𝐴_𝑖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∙〖𝑃_𝑖〗^(−𝜀_𝑖 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5</xdr:row>
      <xdr:rowOff>0</xdr:rowOff>
    </xdr:from>
    <xdr:ext cx="135357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SpPr txBox="1"/>
          </xdr:nvSpPr>
          <xdr:spPr>
            <a:xfrm>
              <a:off x="518583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𝑏𝑄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5BC3EFCC-349D-48AD-A0CF-2EC46D051B0E}"/>
                </a:ext>
              </a:extLst>
            </xdr:cNvPr>
            <xdr:cNvSpPr txBox="1"/>
          </xdr:nvSpPr>
          <xdr:spPr>
            <a:xfrm>
              <a:off x="518583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Cmg=𝑎𝑄^2−𝑏𝑄+𝑐</a:t>
              </a:r>
              <a:endParaRPr lang="es-A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7</xdr:col>
          <xdr:colOff>723900</xdr:colOff>
          <xdr:row>2</xdr:row>
          <xdr:rowOff>85725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8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 equilibrios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11906</xdr:colOff>
      <xdr:row>4</xdr:row>
      <xdr:rowOff>0</xdr:rowOff>
    </xdr:from>
    <xdr:to>
      <xdr:col>7</xdr:col>
      <xdr:colOff>750093</xdr:colOff>
      <xdr:row>6</xdr:row>
      <xdr:rowOff>154781</xdr:rowOff>
    </xdr:to>
    <xdr:grpSp>
      <xdr:nvGrpSpPr>
        <xdr:cNvPr id="9" name="Grup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pSpPr/>
      </xdr:nvGrpSpPr>
      <xdr:grpSpPr>
        <a:xfrm>
          <a:off x="4179094" y="762000"/>
          <a:ext cx="1523999" cy="535781"/>
          <a:chOff x="85725" y="771525"/>
          <a:chExt cx="1733550" cy="457200"/>
        </a:xfrm>
      </xdr:grpSpPr>
      <xdr:sp macro="" textlink="">
        <xdr:nvSpPr>
          <xdr:cNvPr id="10" name="Rectángulo: esquinas redondeadas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SpPr txBox="1"/>
        </xdr:nvSpPr>
        <xdr:spPr>
          <a:xfrm>
            <a:off x="164461" y="893868"/>
            <a:ext cx="1590675" cy="295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1200"/>
              <a:t>INICIO</a:t>
            </a:r>
          </a:p>
        </xdr:txBody>
      </xdr:sp>
    </xdr:grpSp>
    <xdr:clientData/>
  </xdr:twoCellAnchor>
  <xdr:oneCellAnchor>
    <xdr:from>
      <xdr:col>16</xdr:col>
      <xdr:colOff>10583</xdr:colOff>
      <xdr:row>1</xdr:row>
      <xdr:rowOff>10583</xdr:rowOff>
    </xdr:from>
    <xdr:ext cx="14410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SpPr txBox="1"/>
          </xdr:nvSpPr>
          <xdr:spPr>
            <a:xfrm>
              <a:off x="6261364" y="201083"/>
              <a:ext cx="14410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43B3B8CF-529E-4BB6-A5DC-99B5EE075C01}"/>
                </a:ext>
              </a:extLst>
            </xdr:cNvPr>
            <xdr:cNvSpPr txBox="1"/>
          </xdr:nvSpPr>
          <xdr:spPr>
            <a:xfrm>
              <a:off x="6261364" y="201083"/>
              <a:ext cx="14410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𝐷𝑒𝑚𝑎𝑛𝑑𝑎_𝑖=𝐴_𝑖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∙〖𝑃_𝑖〗^(−𝜀_𝑖 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5</xdr:row>
      <xdr:rowOff>0</xdr:rowOff>
    </xdr:from>
    <xdr:ext cx="135357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6250781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𝑏𝑄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7857507B-E90F-4EF3-B817-6D5442DC9A83}"/>
                </a:ext>
              </a:extLst>
            </xdr:cNvPr>
            <xdr:cNvSpPr txBox="1"/>
          </xdr:nvSpPr>
          <xdr:spPr>
            <a:xfrm>
              <a:off x="6250781" y="9525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Cmg=𝑎𝑄^2−𝑏𝑄+𝑐</a:t>
              </a:r>
              <a:endParaRPr lang="es-AR" sz="11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19</xdr:row>
          <xdr:rowOff>76200</xdr:rowOff>
        </xdr:from>
        <xdr:to>
          <xdr:col>4</xdr:col>
          <xdr:colOff>723900</xdr:colOff>
          <xdr:row>22</xdr:row>
          <xdr:rowOff>180975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9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simulaciones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119060</xdr:colOff>
      <xdr:row>6</xdr:row>
      <xdr:rowOff>164304</xdr:rowOff>
    </xdr:from>
    <xdr:to>
      <xdr:col>17</xdr:col>
      <xdr:colOff>121227</xdr:colOff>
      <xdr:row>20</xdr:row>
      <xdr:rowOff>154971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77360" y="1354929"/>
              <a:ext cx="4669417" cy="26957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oneCellAnchor>
    <xdr:from>
      <xdr:col>1</xdr:col>
      <xdr:colOff>10583</xdr:colOff>
      <xdr:row>2</xdr:row>
      <xdr:rowOff>10583</xdr:rowOff>
    </xdr:from>
    <xdr:ext cx="12448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900-000008000000}"/>
                </a:ext>
              </a:extLst>
            </xdr:cNvPr>
            <xdr:cNvSpPr txBox="1"/>
          </xdr:nvSpPr>
          <xdr:spPr>
            <a:xfrm>
              <a:off x="3820583" y="3915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689D1A88-13EA-4324-A107-13863FE54356}"/>
                </a:ext>
              </a:extLst>
            </xdr:cNvPr>
            <xdr:cNvSpPr txBox="1"/>
          </xdr:nvSpPr>
          <xdr:spPr>
            <a:xfrm>
              <a:off x="3820583" y="3915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𝐷𝑒𝑚𝑎𝑛𝑑𝑎=𝐴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∙𝑃^(−𝜀)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0</xdr:colOff>
      <xdr:row>4</xdr:row>
      <xdr:rowOff>0</xdr:rowOff>
    </xdr:from>
    <xdr:ext cx="135357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900-000009000000}"/>
                </a:ext>
              </a:extLst>
            </xdr:cNvPr>
            <xdr:cNvSpPr txBox="1"/>
          </xdr:nvSpPr>
          <xdr:spPr>
            <a:xfrm>
              <a:off x="3810000" y="7620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𝑏𝑄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5A545A0C-7F12-4114-AC0B-DBB0A150FB45}"/>
                </a:ext>
              </a:extLst>
            </xdr:cNvPr>
            <xdr:cNvSpPr txBox="1"/>
          </xdr:nvSpPr>
          <xdr:spPr>
            <a:xfrm>
              <a:off x="3810000" y="7620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Cmg=𝑎𝑄^2−𝑏𝑄+𝑐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10583</xdr:colOff>
      <xdr:row>7</xdr:row>
      <xdr:rowOff>0</xdr:rowOff>
    </xdr:from>
    <xdr:ext cx="414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900-00000A000000}"/>
                </a:ext>
              </a:extLst>
            </xdr:cNvPr>
            <xdr:cNvSpPr txBox="1"/>
          </xdr:nvSpPr>
          <xdr:spPr>
            <a:xfrm>
              <a:off x="3820583" y="1333500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𝑁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𝑛</m:t>
                    </m:r>
                  </m:oMath>
                </m:oMathPara>
              </a14:m>
              <a:endParaRPr lang="es-ES" sz="1100" b="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B8E51899-C528-4F94-A591-A5927E5E30D0}"/>
                </a:ext>
              </a:extLst>
            </xdr:cNvPr>
            <xdr:cNvSpPr txBox="1"/>
          </xdr:nvSpPr>
          <xdr:spPr>
            <a:xfrm>
              <a:off x="3820583" y="1333500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𝑁=𝑛</a:t>
              </a:r>
              <a:endParaRPr lang="es-ES" sz="1100" b="0"/>
            </a:p>
          </xdr:txBody>
        </xdr:sp>
      </mc:Fallback>
    </mc:AlternateContent>
    <xdr:clientData/>
  </xdr:oneCellAnchor>
  <xdr:twoCellAnchor>
    <xdr:from>
      <xdr:col>2</xdr:col>
      <xdr:colOff>547687</xdr:colOff>
      <xdr:row>23</xdr:row>
      <xdr:rowOff>119062</xdr:rowOff>
    </xdr:from>
    <xdr:to>
      <xdr:col>4</xdr:col>
      <xdr:colOff>500061</xdr:colOff>
      <xdr:row>26</xdr:row>
      <xdr:rowOff>83343</xdr:rowOff>
    </xdr:to>
    <xdr:grpSp>
      <xdr:nvGrpSpPr>
        <xdr:cNvPr id="12" name="Grup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1845468" y="4607718"/>
          <a:ext cx="1523999" cy="535781"/>
          <a:chOff x="85725" y="771525"/>
          <a:chExt cx="1733550" cy="457200"/>
        </a:xfrm>
      </xdr:grpSpPr>
      <xdr:sp macro="" textlink="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 txBox="1"/>
        </xdr:nvSpPr>
        <xdr:spPr>
          <a:xfrm>
            <a:off x="164461" y="893868"/>
            <a:ext cx="1590675" cy="295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1200"/>
              <a:t>INICIO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</xdr:colOff>
      <xdr:row>1</xdr:row>
      <xdr:rowOff>9525</xdr:rowOff>
    </xdr:from>
    <xdr:ext cx="181466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A00-000009000000}"/>
                </a:ext>
              </a:extLst>
            </xdr:cNvPr>
            <xdr:cNvSpPr txBox="1"/>
          </xdr:nvSpPr>
          <xdr:spPr>
            <a:xfrm>
              <a:off x="523875" y="200025"/>
              <a:ext cx="181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96B66F22-94BA-4319-A9FD-8B60543852BF}"/>
                </a:ext>
              </a:extLst>
            </xdr:cNvPr>
            <xdr:cNvSpPr txBox="1"/>
          </xdr:nvSpPr>
          <xdr:spPr>
            <a:xfrm>
              <a:off x="523875" y="200025"/>
              <a:ext cx="181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𝐷𝑒𝑚𝑎𝑛𝑑𝑎_1=𝐴_1−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𝛼𝑃_1+𝛾𝑃_2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9525</xdr:colOff>
      <xdr:row>4</xdr:row>
      <xdr:rowOff>0</xdr:rowOff>
    </xdr:from>
    <xdr:ext cx="18255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A00-00000A000000}"/>
                </a:ext>
              </a:extLst>
            </xdr:cNvPr>
            <xdr:cNvSpPr txBox="1"/>
          </xdr:nvSpPr>
          <xdr:spPr>
            <a:xfrm>
              <a:off x="523875" y="762000"/>
              <a:ext cx="18255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𝛿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D05E551A-67CD-4871-B45C-C4B5383CEB35}"/>
                </a:ext>
              </a:extLst>
            </xdr:cNvPr>
            <xdr:cNvSpPr txBox="1"/>
          </xdr:nvSpPr>
          <xdr:spPr>
            <a:xfrm>
              <a:off x="523875" y="762000"/>
              <a:ext cx="18255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𝐷𝑒𝑚𝑎𝑛𝑑𝑎_2=𝐴_2−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𝛽𝑃_2+𝛿𝑃_1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9525</xdr:colOff>
      <xdr:row>7</xdr:row>
      <xdr:rowOff>0</xdr:rowOff>
    </xdr:from>
    <xdr:ext cx="13745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A00-00000C000000}"/>
                </a:ext>
              </a:extLst>
            </xdr:cNvPr>
            <xdr:cNvSpPr txBox="1"/>
          </xdr:nvSpPr>
          <xdr:spPr>
            <a:xfrm>
              <a:off x="523875" y="952500"/>
              <a:ext cx="13745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𝐶𝑇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𝐹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BBEEF933-4C92-4D80-AA8E-54124936B8C2}"/>
                </a:ext>
              </a:extLst>
            </xdr:cNvPr>
            <xdr:cNvSpPr txBox="1"/>
          </xdr:nvSpPr>
          <xdr:spPr>
            <a:xfrm>
              <a:off x="523875" y="952500"/>
              <a:ext cx="13745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𝐶𝑇=𝑐_1 𝑄_1+𝑐_2 𝑄_2+𝐹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9</xdr:col>
      <xdr:colOff>9525</xdr:colOff>
      <xdr:row>1</xdr:row>
      <xdr:rowOff>9525</xdr:rowOff>
    </xdr:from>
    <xdr:ext cx="181466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A00-00000D000000}"/>
                </a:ext>
              </a:extLst>
            </xdr:cNvPr>
            <xdr:cNvSpPr txBox="1"/>
          </xdr:nvSpPr>
          <xdr:spPr>
            <a:xfrm>
              <a:off x="521494" y="200025"/>
              <a:ext cx="181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59291420-28FE-40F5-9C83-86514999A247}"/>
                </a:ext>
              </a:extLst>
            </xdr:cNvPr>
            <xdr:cNvSpPr txBox="1"/>
          </xdr:nvSpPr>
          <xdr:spPr>
            <a:xfrm>
              <a:off x="521494" y="200025"/>
              <a:ext cx="181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𝐷𝑒𝑚𝑎𝑛𝑑𝑎_1=𝐴_1−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𝛼𝑃_1+𝛾𝑃_2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9</xdr:col>
      <xdr:colOff>9525</xdr:colOff>
      <xdr:row>4</xdr:row>
      <xdr:rowOff>0</xdr:rowOff>
    </xdr:from>
    <xdr:ext cx="18255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A00-00000E000000}"/>
                </a:ext>
              </a:extLst>
            </xdr:cNvPr>
            <xdr:cNvSpPr txBox="1"/>
          </xdr:nvSpPr>
          <xdr:spPr>
            <a:xfrm>
              <a:off x="521494" y="762000"/>
              <a:ext cx="18255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𝛿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2ADBAD2E-4F2F-4515-9D3C-EF846134EA36}"/>
                </a:ext>
              </a:extLst>
            </xdr:cNvPr>
            <xdr:cNvSpPr txBox="1"/>
          </xdr:nvSpPr>
          <xdr:spPr>
            <a:xfrm>
              <a:off x="521494" y="762000"/>
              <a:ext cx="18255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𝐷𝑒𝑚𝑎𝑛𝑑𝑎_2=𝐴_2−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𝛽𝑃_2+𝛿𝑃_1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9</xdr:col>
      <xdr:colOff>9525</xdr:colOff>
      <xdr:row>7</xdr:row>
      <xdr:rowOff>0</xdr:rowOff>
    </xdr:from>
    <xdr:ext cx="13745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A00-00000F000000}"/>
                </a:ext>
              </a:extLst>
            </xdr:cNvPr>
            <xdr:cNvSpPr txBox="1"/>
          </xdr:nvSpPr>
          <xdr:spPr>
            <a:xfrm>
              <a:off x="521494" y="1333500"/>
              <a:ext cx="13745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𝐶𝑇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𝐹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51E8722C-2D6D-4331-B46C-B53644E480E2}"/>
                </a:ext>
              </a:extLst>
            </xdr:cNvPr>
            <xdr:cNvSpPr txBox="1"/>
          </xdr:nvSpPr>
          <xdr:spPr>
            <a:xfrm>
              <a:off x="521494" y="1333500"/>
              <a:ext cx="137454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𝐶𝑇=𝑐_1 𝑄_1+𝑐_2 𝑄_2+𝐹</a:t>
              </a:r>
              <a:endParaRPr lang="es-AR" sz="1100"/>
            </a:p>
          </xdr:txBody>
        </xdr:sp>
      </mc:Fallback>
    </mc:AlternateContent>
    <xdr:clientData/>
  </xdr:oneCellAnchor>
  <xdr:twoCellAnchor>
    <xdr:from>
      <xdr:col>6</xdr:col>
      <xdr:colOff>23812</xdr:colOff>
      <xdr:row>3</xdr:row>
      <xdr:rowOff>0</xdr:rowOff>
    </xdr:from>
    <xdr:to>
      <xdr:col>7</xdr:col>
      <xdr:colOff>761999</xdr:colOff>
      <xdr:row>5</xdr:row>
      <xdr:rowOff>154781</xdr:rowOff>
    </xdr:to>
    <xdr:grpSp>
      <xdr:nvGrpSpPr>
        <xdr:cNvPr id="19" name="Grupo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GrpSpPr/>
      </xdr:nvGrpSpPr>
      <xdr:grpSpPr>
        <a:xfrm>
          <a:off x="4714875" y="571500"/>
          <a:ext cx="1523999" cy="535781"/>
          <a:chOff x="85725" y="771525"/>
          <a:chExt cx="1733550" cy="457200"/>
        </a:xfrm>
      </xdr:grpSpPr>
      <xdr:sp macro="" textlink="">
        <xdr:nvSpPr>
          <xdr:cNvPr id="20" name="Rectángulo: esquinas redondeadas 19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1" name="CuadroTexto 20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SpPr txBox="1"/>
        </xdr:nvSpPr>
        <xdr:spPr>
          <a:xfrm>
            <a:off x="164461" y="893868"/>
            <a:ext cx="1590675" cy="295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1200"/>
              <a:t>INICIO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0</xdr:rowOff>
        </xdr:from>
        <xdr:to>
          <xdr:col>7</xdr:col>
          <xdr:colOff>752475</xdr:colOff>
          <xdr:row>2</xdr:row>
          <xdr:rowOff>38100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A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 equilibrios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1803</xdr:colOff>
      <xdr:row>2</xdr:row>
      <xdr:rowOff>116898</xdr:rowOff>
    </xdr:from>
    <xdr:to>
      <xdr:col>8</xdr:col>
      <xdr:colOff>656646</xdr:colOff>
      <xdr:row>8</xdr:row>
      <xdr:rowOff>81180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4573803" y="497898"/>
          <a:ext cx="2178843" cy="1107282"/>
          <a:chOff x="78081" y="766485"/>
          <a:chExt cx="1748673" cy="468749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 txBox="1"/>
        </xdr:nvSpPr>
        <xdr:spPr>
          <a:xfrm>
            <a:off x="78081" y="766485"/>
            <a:ext cx="1748673" cy="468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AR" sz="1200"/>
              <a:t>INICIO</a:t>
            </a:r>
          </a:p>
        </xdr:txBody>
      </xdr:sp>
    </xdr:grpSp>
    <xdr:clientData/>
  </xdr:twoCellAnchor>
  <xdr:twoCellAnchor>
    <xdr:from>
      <xdr:col>3</xdr:col>
      <xdr:colOff>644741</xdr:colOff>
      <xdr:row>11</xdr:row>
      <xdr:rowOff>35933</xdr:rowOff>
    </xdr:from>
    <xdr:to>
      <xdr:col>6</xdr:col>
      <xdr:colOff>518741</xdr:colOff>
      <xdr:row>16</xdr:row>
      <xdr:rowOff>164522</xdr:rowOff>
    </xdr:to>
    <xdr:grpSp>
      <xdr:nvGrpSpPr>
        <xdr:cNvPr id="5" name="Grup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pSpPr/>
      </xdr:nvGrpSpPr>
      <xdr:grpSpPr>
        <a:xfrm>
          <a:off x="2930741" y="2131433"/>
          <a:ext cx="2160000" cy="1081089"/>
          <a:chOff x="85725" y="771525"/>
          <a:chExt cx="1733550" cy="457661"/>
        </a:xfrm>
      </xdr:grpSpPr>
      <xdr:sp macro="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 txBox="1"/>
        </xdr:nvSpPr>
        <xdr:spPr>
          <a:xfrm>
            <a:off x="85726" y="775558"/>
            <a:ext cx="1720007" cy="4536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AR" sz="1200"/>
              <a:t>HORIZONTAL</a:t>
            </a:r>
          </a:p>
        </xdr:txBody>
      </xdr:sp>
    </xdr:grpSp>
    <xdr:clientData/>
  </xdr:twoCellAnchor>
  <xdr:twoCellAnchor>
    <xdr:from>
      <xdr:col>8</xdr:col>
      <xdr:colOff>156584</xdr:colOff>
      <xdr:row>11</xdr:row>
      <xdr:rowOff>21645</xdr:rowOff>
    </xdr:from>
    <xdr:to>
      <xdr:col>11</xdr:col>
      <xdr:colOff>30584</xdr:colOff>
      <xdr:row>16</xdr:row>
      <xdr:rowOff>164523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pSpPr/>
      </xdr:nvGrpSpPr>
      <xdr:grpSpPr>
        <a:xfrm>
          <a:off x="6252584" y="2117145"/>
          <a:ext cx="2160000" cy="1095378"/>
          <a:chOff x="5421312" y="1952623"/>
          <a:chExt cx="2160000" cy="1095378"/>
        </a:xfrm>
      </xdr:grpSpPr>
      <xdr:grpSp>
        <xdr:nvGrpSpPr>
          <xdr:cNvPr id="8" name="Grupo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GrpSpPr/>
        </xdr:nvGrpSpPr>
        <xdr:grpSpPr>
          <a:xfrm>
            <a:off x="5421312" y="1952623"/>
            <a:ext cx="2160000" cy="1095378"/>
            <a:chOff x="85725" y="771525"/>
            <a:chExt cx="1733550" cy="463710"/>
          </a:xfrm>
        </xdr:grpSpPr>
        <xdr:sp macro="" textlink="">
          <xdr:nvSpPr>
            <xdr:cNvPr id="9" name="Rectángulo: esquinas redondeadas 8">
              <a:extLst>
                <a:ext uri="{FF2B5EF4-FFF2-40B4-BE49-F238E27FC236}">
                  <a16:creationId xmlns:a16="http://schemas.microsoft.com/office/drawing/2014/main" id="{00000000-0008-0000-0B00-000009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B00-00000A000000}"/>
                </a:ext>
              </a:extLst>
            </xdr:cNvPr>
            <xdr:cNvSpPr txBox="1"/>
          </xdr:nvSpPr>
          <xdr:spPr>
            <a:xfrm>
              <a:off x="85725" y="771526"/>
              <a:ext cx="1729563" cy="46370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AR" sz="1200"/>
                <a:t>VERTICAL</a:t>
              </a:r>
            </a:p>
          </xdr:txBody>
        </xdr:sp>
      </xdr:grpSp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 txBox="1"/>
        </xdr:nvSpPr>
        <xdr:spPr>
          <a:xfrm>
            <a:off x="5437189" y="2627310"/>
            <a:ext cx="2127250" cy="2321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AR" sz="900">
                <a:solidFill>
                  <a:schemeClr val="tx1">
                    <a:lumMod val="75000"/>
                    <a:lumOff val="25000"/>
                  </a:schemeClr>
                </a:solidFill>
              </a:rPr>
              <a:t>Eleccion</a:t>
            </a:r>
            <a:r>
              <a:rPr lang="es-AR" sz="9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de calidad en bienes search</a:t>
            </a:r>
            <a:endParaRPr lang="es-AR" sz="9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30689</xdr:rowOff>
    </xdr:from>
    <xdr:to>
      <xdr:col>4</xdr:col>
      <xdr:colOff>392531</xdr:colOff>
      <xdr:row>30</xdr:row>
      <xdr:rowOff>6689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14</xdr:row>
          <xdr:rowOff>142875</xdr:rowOff>
        </xdr:from>
        <xdr:to>
          <xdr:col>7</xdr:col>
          <xdr:colOff>428625</xdr:colOff>
          <xdr:row>18</xdr:row>
          <xdr:rowOff>0</xdr:rowOff>
        </xdr:to>
        <xdr:sp macro="" textlink="">
          <xdr:nvSpPr>
            <xdr:cNvPr id="13377" name="Button 65" hidden="1">
              <a:extLst>
                <a:ext uri="{63B3BB69-23CF-44E3-9099-C40C66FF867C}">
                  <a14:compatExt spid="_x0000_s13377"/>
                </a:ext>
                <a:ext uri="{FF2B5EF4-FFF2-40B4-BE49-F238E27FC236}">
                  <a16:creationId xmlns:a16="http://schemas.microsoft.com/office/drawing/2014/main" id="{00000000-0008-0000-0C00-00004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 equilibrios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773906</xdr:colOff>
      <xdr:row>15</xdr:row>
      <xdr:rowOff>0</xdr:rowOff>
    </xdr:from>
    <xdr:to>
      <xdr:col>8</xdr:col>
      <xdr:colOff>916780</xdr:colOff>
      <xdr:row>17</xdr:row>
      <xdr:rowOff>154781</xdr:rowOff>
    </xdr:to>
    <xdr:grpSp>
      <xdr:nvGrpSpPr>
        <xdr:cNvPr id="4" name="Grup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10572750" y="2869406"/>
          <a:ext cx="1523999" cy="535781"/>
          <a:chOff x="85725" y="771525"/>
          <a:chExt cx="1733550" cy="457200"/>
        </a:xfrm>
      </xdr:grpSpPr>
      <xdr:sp macro="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6" name="CuadroTexto 5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 txBox="1"/>
        </xdr:nvSpPr>
        <xdr:spPr>
          <a:xfrm>
            <a:off x="164461" y="893868"/>
            <a:ext cx="1590675" cy="295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1200"/>
              <a:t>ATRAS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11905</xdr:rowOff>
    </xdr:from>
    <xdr:ext cx="2751971" cy="2500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D00-000006000000}"/>
                </a:ext>
              </a:extLst>
            </xdr:cNvPr>
            <xdr:cNvSpPr txBox="1"/>
          </xdr:nvSpPr>
          <xdr:spPr>
            <a:xfrm>
              <a:off x="511969" y="214311"/>
              <a:ext cx="2751971" cy="250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acc>
                          <m:accPr>
                            <m:chr m:val="̅"/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</m:t>
                            </m:r>
                          </m:e>
                        </m:acc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𝜖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∙(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−1)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𝑍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acc>
                          <m:accPr>
                            <m:chr m:val="̅"/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𝑍</m:t>
                            </m:r>
                          </m:e>
                        </m:acc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∙(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−1)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A00-000006000000}"/>
                </a:ext>
              </a:extLst>
            </xdr:cNvPr>
            <xdr:cNvSpPr txBox="1"/>
          </xdr:nvSpPr>
          <xdr:spPr>
            <a:xfrm>
              <a:off x="511969" y="214311"/>
              <a:ext cx="2751971" cy="250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𝐷𝑒𝑚𝑎𝑛𝑑𝑎=𝐴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∙𝑃_1^(−𝜀)∙𝑃 ̅^(𝜖∙(𝑛−1))∙𝑍_1^𝛼∙𝑍 ̅^(−𝛽∙(𝑛−1))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0</xdr:colOff>
      <xdr:row>7</xdr:row>
      <xdr:rowOff>0</xdr:rowOff>
    </xdr:from>
    <xdr:ext cx="87049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D00-000007000000}"/>
                </a:ext>
              </a:extLst>
            </xdr:cNvPr>
            <xdr:cNvSpPr txBox="1"/>
          </xdr:nvSpPr>
          <xdr:spPr>
            <a:xfrm>
              <a:off x="518583" y="1143000"/>
              <a:ext cx="87049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𝑍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518583" y="1143000"/>
              <a:ext cx="87049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Cmg=𝑐_0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∙𝑍^𝛾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10</xdr:col>
      <xdr:colOff>0</xdr:colOff>
      <xdr:row>1</xdr:row>
      <xdr:rowOff>11906</xdr:rowOff>
    </xdr:from>
    <xdr:ext cx="2041777" cy="2976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SpPr txBox="1"/>
          </xdr:nvSpPr>
          <xdr:spPr>
            <a:xfrm>
              <a:off x="8870156" y="214312"/>
              <a:ext cx="204177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𝜖</m:t>
                        </m:r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𝑍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sup>
                    </m:sSub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𝑍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sup>
                    </m:sSub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B8E4547A-1C1C-4164-8A36-4D017DBBDAFD}"/>
                </a:ext>
              </a:extLst>
            </xdr:cNvPr>
            <xdr:cNvSpPr txBox="1"/>
          </xdr:nvSpPr>
          <xdr:spPr>
            <a:xfrm>
              <a:off x="8870156" y="214312"/>
              <a:ext cx="204177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𝐷𝑒𝑚𝑎𝑛𝑑𝑎=𝐴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∙𝑃_1^(−𝜀)∙𝑃_2^𝜖∙𝑍_1^𝛼∙𝑍_2^(−𝛽)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10</xdr:col>
      <xdr:colOff>0</xdr:colOff>
      <xdr:row>6</xdr:row>
      <xdr:rowOff>0</xdr:rowOff>
    </xdr:from>
    <xdr:ext cx="87049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D00-000003000000}"/>
                </a:ext>
              </a:extLst>
            </xdr:cNvPr>
            <xdr:cNvSpPr txBox="1"/>
          </xdr:nvSpPr>
          <xdr:spPr>
            <a:xfrm>
              <a:off x="511969" y="1333500"/>
              <a:ext cx="87049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𝑍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EE58DB9C-F586-470B-9259-047510CE56FB}"/>
                </a:ext>
              </a:extLst>
            </xdr:cNvPr>
            <xdr:cNvSpPr txBox="1"/>
          </xdr:nvSpPr>
          <xdr:spPr>
            <a:xfrm>
              <a:off x="511969" y="1333500"/>
              <a:ext cx="87049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Cmg=𝑐_0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∙𝑍^𝛾</a:t>
              </a:r>
              <a:endParaRPr lang="es-A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8</xdr:col>
          <xdr:colOff>1485900</xdr:colOff>
          <xdr:row>1</xdr:row>
          <xdr:rowOff>180975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D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 equilibrios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23813</xdr:colOff>
      <xdr:row>2</xdr:row>
      <xdr:rowOff>35718</xdr:rowOff>
    </xdr:from>
    <xdr:to>
      <xdr:col>8</xdr:col>
      <xdr:colOff>1488282</xdr:colOff>
      <xdr:row>5</xdr:row>
      <xdr:rowOff>35719</xdr:rowOff>
    </xdr:to>
    <xdr:grpSp>
      <xdr:nvGrpSpPr>
        <xdr:cNvPr id="8" name="Grup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6905626" y="440531"/>
          <a:ext cx="1464469" cy="607219"/>
          <a:chOff x="85725" y="771525"/>
          <a:chExt cx="1733550" cy="457200"/>
        </a:xfrm>
      </xdr:grpSpPr>
      <xdr:sp macro="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 txBox="1"/>
        </xdr:nvSpPr>
        <xdr:spPr>
          <a:xfrm>
            <a:off x="99817" y="780490"/>
            <a:ext cx="1719456" cy="4482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AR" sz="1200"/>
              <a:t>ATRAS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1</xdr:row>
      <xdr:rowOff>28046</xdr:rowOff>
    </xdr:from>
    <xdr:to>
      <xdr:col>1</xdr:col>
      <xdr:colOff>1280584</xdr:colOff>
      <xdr:row>3</xdr:row>
      <xdr:rowOff>175871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514350" y="218546"/>
          <a:ext cx="1278203" cy="528825"/>
          <a:chOff x="3790950" y="747712"/>
          <a:chExt cx="1219793" cy="528825"/>
        </a:xfrm>
      </xdr:grpSpPr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" name="CuadroTexto 1">
                <a:extLst>
                  <a:ext uri="{FF2B5EF4-FFF2-40B4-BE49-F238E27FC236}">
                    <a16:creationId xmlns:a16="http://schemas.microsoft.com/office/drawing/2014/main" id="{00000000-0008-0000-0E00-000002000000}"/>
                  </a:ext>
                </a:extLst>
              </xdr:cNvPr>
              <xdr:cNvSpPr txBox="1"/>
            </xdr:nvSpPr>
            <xdr:spPr>
              <a:xfrm>
                <a:off x="3790950" y="747712"/>
                <a:ext cx="1218795" cy="21313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s-AR" sz="110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s-ES" sz="1100" b="0" i="1">
                              <a:latin typeface="Cambria Math" panose="02040503050406030204" pitchFamily="18" charset="0"/>
                            </a:rPr>
                            <m:t>𝑄</m:t>
                          </m:r>
                        </m:e>
                        <m:sub>
                          <m:r>
                            <a:rPr lang="es-E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sub>
                      </m:sSub>
                      <m:r>
                        <a:rPr lang="es-ES" sz="1100" b="0" i="1">
                          <a:latin typeface="Cambria Math" panose="02040503050406030204" pitchFamily="18" charset="0"/>
                        </a:rPr>
                        <m:t>=</m:t>
                      </m:r>
                      <m:r>
                        <a:rPr lang="es-E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𝛼</m:t>
                      </m:r>
                      <m:r>
                        <a:rPr lang="es-E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sSubSup>
                        <m:sSubSupPr>
                          <m:ctrlPr>
                            <a:rPr lang="es-E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bSupPr>
                        <m:e>
                          <m:r>
                            <a:rPr lang="es-E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𝑃</m:t>
                          </m:r>
                        </m:e>
                        <m:sub>
                          <m:r>
                            <a:rPr lang="es-E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𝐴</m:t>
                          </m:r>
                        </m:sub>
                        <m:sup>
                          <m:r>
                            <a:rPr lang="es-E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sSub>
                            <m:sSubPr>
                              <m:ctrlPr>
                                <a:rPr lang="es-E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s-E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𝜀</m:t>
                              </m:r>
                            </m:e>
                            <m:sub>
                              <m:r>
                                <a:rPr lang="es-E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𝐴</m:t>
                              </m:r>
                            </m:sub>
                          </m:sSub>
                        </m:sup>
                      </m:sSubSup>
                      <m:r>
                        <a:rPr lang="es-E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sSubSup>
                        <m:sSubSupPr>
                          <m:ctrlPr>
                            <a:rPr lang="es-E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bSupPr>
                        <m:e>
                          <m:r>
                            <a:rPr lang="es-E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𝑄</m:t>
                          </m:r>
                        </m:e>
                        <m:sub>
                          <m:r>
                            <a:rPr lang="es-E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𝐵</m:t>
                          </m:r>
                        </m:sub>
                        <m:sup>
                          <m:sSub>
                            <m:sSubPr>
                              <m:ctrlPr>
                                <a:rPr lang="es-E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s-E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𝜃</m:t>
                              </m:r>
                            </m:e>
                            <m:sub>
                              <m:r>
                                <a:rPr lang="es-E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𝐴</m:t>
                              </m:r>
                            </m:sub>
                          </m:sSub>
                        </m:sup>
                      </m:sSubSup>
                    </m:oMath>
                  </m:oMathPara>
                </a14:m>
                <a:endParaRPr lang="es-ES" sz="1100" b="0">
                  <a:ea typeface="Cambria Math" panose="02040503050406030204" pitchFamily="18" charset="0"/>
                </a:endParaRPr>
              </a:p>
            </xdr:txBody>
          </xdr:sp>
        </mc:Choice>
        <mc:Fallback xmlns="">
          <xdr:sp macro="" textlink="">
            <xdr:nvSpPr>
              <xdr:cNvPr id="2" name="CuadroTexto 1">
                <a:extLst>
                  <a:ext uri="{FF2B5EF4-FFF2-40B4-BE49-F238E27FC236}">
                    <a16:creationId xmlns:a16="http://schemas.microsoft.com/office/drawing/2014/main" id="{848ED90B-3D6C-25EC-2F9D-94E930EE9343}"/>
                  </a:ext>
                </a:extLst>
              </xdr:cNvPr>
              <xdr:cNvSpPr txBox="1"/>
            </xdr:nvSpPr>
            <xdr:spPr>
              <a:xfrm>
                <a:off x="3790950" y="747712"/>
                <a:ext cx="1218795" cy="213135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r>
                  <a:rPr lang="es-ES" sz="1100" b="0" i="0">
                    <a:latin typeface="Cambria Math" panose="02040503050406030204" pitchFamily="18" charset="0"/>
                  </a:rPr>
                  <a:t>𝑄</a:t>
                </a:r>
                <a:r>
                  <a:rPr lang="es-AR" sz="1100" b="0" i="0">
                    <a:latin typeface="Cambria Math" panose="02040503050406030204" pitchFamily="18" charset="0"/>
                  </a:rPr>
                  <a:t>_</a:t>
                </a:r>
                <a:r>
                  <a:rPr lang="es-ES" sz="1100" b="0" i="0">
                    <a:latin typeface="Cambria Math" panose="02040503050406030204" pitchFamily="18" charset="0"/>
                  </a:rPr>
                  <a:t>𝐴=</a:t>
                </a:r>
                <a:r>
                  <a:rPr lang="es-ES" sz="1100" b="0" i="0">
                    <a:latin typeface="Cambria Math" panose="02040503050406030204" pitchFamily="18" charset="0"/>
                    <a:ea typeface="Cambria Math" panose="02040503050406030204" pitchFamily="18" charset="0"/>
                  </a:rPr>
                  <a:t>𝛼∙𝑃_𝐴^(−𝜀_𝐴 )∙𝑄_𝐵^(𝜃_𝐴 )</a:t>
                </a:r>
                <a:endParaRPr lang="es-ES" sz="1100" b="0">
                  <a:ea typeface="Cambria Math" panose="02040503050406030204" pitchFamily="18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3" name="CuadroTexto 2">
                <a:extLst>
                  <a:ext uri="{FF2B5EF4-FFF2-40B4-BE49-F238E27FC236}">
                    <a16:creationId xmlns:a16="http://schemas.microsoft.com/office/drawing/2014/main" id="{00000000-0008-0000-0E00-000003000000}"/>
                  </a:ext>
                </a:extLst>
              </xdr:cNvPr>
              <xdr:cNvSpPr txBox="1"/>
            </xdr:nvSpPr>
            <xdr:spPr>
              <a:xfrm>
                <a:off x="3800475" y="1066800"/>
                <a:ext cx="1210268" cy="20973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s-AR" sz="110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s-ES" sz="1100" b="0" i="1">
                              <a:latin typeface="Cambria Math" panose="02040503050406030204" pitchFamily="18" charset="0"/>
                            </a:rPr>
                            <m:t>𝑄</m:t>
                          </m:r>
                        </m:e>
                        <m:sub>
                          <m:r>
                            <a:rPr lang="es-ES" sz="1100" b="0" i="1">
                              <a:latin typeface="Cambria Math" panose="02040503050406030204" pitchFamily="18" charset="0"/>
                            </a:rPr>
                            <m:t>𝐵</m:t>
                          </m:r>
                        </m:sub>
                      </m:sSub>
                      <m:r>
                        <a:rPr lang="es-ES" sz="1100" b="0" i="1">
                          <a:latin typeface="Cambria Math" panose="02040503050406030204" pitchFamily="18" charset="0"/>
                        </a:rPr>
                        <m:t>=</m:t>
                      </m:r>
                      <m:r>
                        <a:rPr lang="es-E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𝛽</m:t>
                      </m:r>
                      <m:r>
                        <a:rPr lang="es-E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sSubSup>
                        <m:sSubSupPr>
                          <m:ctrlPr>
                            <a:rPr lang="es-E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bSupPr>
                        <m:e>
                          <m:r>
                            <a:rPr lang="es-E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𝑃</m:t>
                          </m:r>
                        </m:e>
                        <m:sub>
                          <m:r>
                            <a:rPr lang="es-E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𝐵</m:t>
                          </m:r>
                        </m:sub>
                        <m:sup>
                          <m:r>
                            <a:rPr lang="es-E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sSub>
                            <m:sSubPr>
                              <m:ctrlPr>
                                <a:rPr lang="es-E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s-E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𝜀</m:t>
                              </m:r>
                            </m:e>
                            <m:sub>
                              <m:r>
                                <a:rPr lang="es-E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𝐵</m:t>
                              </m:r>
                            </m:sub>
                          </m:sSub>
                        </m:sup>
                      </m:sSubSup>
                      <m:r>
                        <a:rPr lang="es-E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sSubSup>
                        <m:sSubSupPr>
                          <m:ctrlPr>
                            <a:rPr lang="es-E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bSupPr>
                        <m:e>
                          <m:r>
                            <a:rPr lang="es-E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𝑄</m:t>
                          </m:r>
                        </m:e>
                        <m:sub>
                          <m:r>
                            <a:rPr lang="es-E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𝐴</m:t>
                          </m:r>
                        </m:sub>
                        <m:sup>
                          <m:sSub>
                            <m:sSubPr>
                              <m:ctrlPr>
                                <a:rPr lang="es-E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s-E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𝜃</m:t>
                              </m:r>
                            </m:e>
                            <m:sub>
                              <m:r>
                                <a:rPr lang="es-E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𝐵</m:t>
                              </m:r>
                            </m:sub>
                          </m:sSub>
                        </m:sup>
                      </m:sSubSup>
                    </m:oMath>
                  </m:oMathPara>
                </a14:m>
                <a:endParaRPr lang="es-ES" sz="1100" b="0">
                  <a:ea typeface="Cambria Math" panose="02040503050406030204" pitchFamily="18" charset="0"/>
                </a:endParaRPr>
              </a:p>
            </xdr:txBody>
          </xdr:sp>
        </mc:Choice>
        <mc:Fallback xmlns="">
          <xdr:sp macro="" textlink="">
            <xdr:nvSpPr>
              <xdr:cNvPr id="3" name="CuadroTexto 2">
                <a:extLst>
                  <a:ext uri="{FF2B5EF4-FFF2-40B4-BE49-F238E27FC236}">
                    <a16:creationId xmlns:a16="http://schemas.microsoft.com/office/drawing/2014/main" id="{ACF1CD04-BF0F-48C0-BC9F-44955DF5A162}"/>
                  </a:ext>
                </a:extLst>
              </xdr:cNvPr>
              <xdr:cNvSpPr txBox="1"/>
            </xdr:nvSpPr>
            <xdr:spPr>
              <a:xfrm>
                <a:off x="3800475" y="1066800"/>
                <a:ext cx="1210268" cy="20973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r>
                  <a:rPr lang="es-ES" sz="1100" b="0" i="0">
                    <a:latin typeface="Cambria Math" panose="02040503050406030204" pitchFamily="18" charset="0"/>
                  </a:rPr>
                  <a:t>𝑄</a:t>
                </a:r>
                <a:r>
                  <a:rPr lang="es-AR" sz="1100" b="0" i="0">
                    <a:latin typeface="Cambria Math" panose="02040503050406030204" pitchFamily="18" charset="0"/>
                  </a:rPr>
                  <a:t>_</a:t>
                </a:r>
                <a:r>
                  <a:rPr lang="es-ES" sz="1100" b="0" i="0">
                    <a:latin typeface="Cambria Math" panose="02040503050406030204" pitchFamily="18" charset="0"/>
                  </a:rPr>
                  <a:t>𝐵=</a:t>
                </a:r>
                <a:r>
                  <a:rPr lang="es-ES" sz="1100" b="0" i="0">
                    <a:latin typeface="Cambria Math" panose="02040503050406030204" pitchFamily="18" charset="0"/>
                    <a:ea typeface="Cambria Math" panose="02040503050406030204" pitchFamily="18" charset="0"/>
                  </a:rPr>
                  <a:t>𝛽∙𝑃_𝐵^(−𝜀_𝐵 )∙𝑄_𝐴^(𝜃_𝐵 )</a:t>
                </a:r>
                <a:endParaRPr lang="es-ES" sz="1100" b="0">
                  <a:ea typeface="Cambria Math" panose="02040503050406030204" pitchFamily="18" charset="0"/>
                </a:endParaRPr>
              </a:p>
            </xdr:txBody>
          </xdr:sp>
        </mc:Fallback>
      </mc:AlternateContent>
    </xdr:grpSp>
    <xdr:clientData/>
  </xdr:twoCellAnchor>
  <xdr:oneCellAnchor>
    <xdr:from>
      <xdr:col>1</xdr:col>
      <xdr:colOff>153458</xdr:colOff>
      <xdr:row>5</xdr:row>
      <xdr:rowOff>58208</xdr:rowOff>
    </xdr:from>
    <xdr:ext cx="65" cy="172227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22994408" y="139170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AR" sz="1100"/>
        </a:p>
      </xdr:txBody>
    </xdr:sp>
    <xdr:clientData/>
  </xdr:oneCellAnchor>
  <xdr:oneCellAnchor>
    <xdr:from>
      <xdr:col>1</xdr:col>
      <xdr:colOff>11906</xdr:colOff>
      <xdr:row>4</xdr:row>
      <xdr:rowOff>107156</xdr:rowOff>
    </xdr:from>
    <xdr:ext cx="65" cy="172227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 txBox="1"/>
      </xdr:nvSpPr>
      <xdr:spPr>
        <a:xfrm>
          <a:off x="22852856" y="12501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AR" sz="1100"/>
        </a:p>
      </xdr:txBody>
    </xdr:sp>
    <xdr:clientData/>
  </xdr:oneCellAnchor>
  <xdr:oneCellAnchor>
    <xdr:from>
      <xdr:col>1</xdr:col>
      <xdr:colOff>29633</xdr:colOff>
      <xdr:row>5</xdr:row>
      <xdr:rowOff>19050</xdr:rowOff>
    </xdr:from>
    <xdr:ext cx="57618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SpPr txBox="1"/>
          </xdr:nvSpPr>
          <xdr:spPr>
            <a:xfrm>
              <a:off x="548216" y="971550"/>
              <a:ext cx="5761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𝐶𝑚𝑔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1905C65-B7BC-CB15-AA38-8F79F8AB752F}"/>
                </a:ext>
              </a:extLst>
            </xdr:cNvPr>
            <xdr:cNvSpPr txBox="1"/>
          </xdr:nvSpPr>
          <xdr:spPr>
            <a:xfrm>
              <a:off x="548216" y="971550"/>
              <a:ext cx="5761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𝐶𝑚𝑔=𝑐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8</xdr:col>
      <xdr:colOff>153458</xdr:colOff>
      <xdr:row>7</xdr:row>
      <xdr:rowOff>58208</xdr:rowOff>
    </xdr:from>
    <xdr:ext cx="65" cy="172227"/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 txBox="1"/>
      </xdr:nvSpPr>
      <xdr:spPr>
        <a:xfrm>
          <a:off x="672041" y="101070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AR" sz="1100"/>
        </a:p>
      </xdr:txBody>
    </xdr:sp>
    <xdr:clientData/>
  </xdr:oneCellAnchor>
  <xdr:oneCellAnchor>
    <xdr:from>
      <xdr:col>8</xdr:col>
      <xdr:colOff>11906</xdr:colOff>
      <xdr:row>5</xdr:row>
      <xdr:rowOff>107156</xdr:rowOff>
    </xdr:from>
    <xdr:ext cx="65" cy="172227"/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 txBox="1"/>
      </xdr:nvSpPr>
      <xdr:spPr>
        <a:xfrm>
          <a:off x="530489" y="8691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AR" sz="1100"/>
        </a:p>
      </xdr:txBody>
    </xdr:sp>
    <xdr:clientData/>
  </xdr:oneCellAnchor>
  <xdr:oneCellAnchor>
    <xdr:from>
      <xdr:col>8</xdr:col>
      <xdr:colOff>61384</xdr:colOff>
      <xdr:row>9</xdr:row>
      <xdr:rowOff>71967</xdr:rowOff>
    </xdr:from>
    <xdr:ext cx="57618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00000000-0008-0000-0E00-000013000000}"/>
                </a:ext>
              </a:extLst>
            </xdr:cNvPr>
            <xdr:cNvSpPr txBox="1"/>
          </xdr:nvSpPr>
          <xdr:spPr>
            <a:xfrm>
              <a:off x="6591301" y="1405467"/>
              <a:ext cx="5761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𝐶𝑚𝑔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3D00E1A7-5942-4D89-BA6D-4A9B9777AD16}"/>
                </a:ext>
              </a:extLst>
            </xdr:cNvPr>
            <xdr:cNvSpPr txBox="1"/>
          </xdr:nvSpPr>
          <xdr:spPr>
            <a:xfrm>
              <a:off x="6591301" y="1405467"/>
              <a:ext cx="5761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ES" sz="1100" b="0" i="0">
                  <a:latin typeface="Cambria Math" panose="02040503050406030204" pitchFamily="18" charset="0"/>
                </a:rPr>
                <a:t>𝐶𝑚𝑔=𝑐</a:t>
              </a:r>
              <a:endParaRPr lang="es-AR" sz="1100"/>
            </a:p>
          </xdr:txBody>
        </xdr:sp>
      </mc:Fallback>
    </mc:AlternateContent>
    <xdr:clientData/>
  </xdr:oneCellAnchor>
  <xdr:twoCellAnchor>
    <xdr:from>
      <xdr:col>8</xdr:col>
      <xdr:colOff>42332</xdr:colOff>
      <xdr:row>1</xdr:row>
      <xdr:rowOff>40214</xdr:rowOff>
    </xdr:from>
    <xdr:to>
      <xdr:col>9</xdr:col>
      <xdr:colOff>1129085</xdr:colOff>
      <xdr:row>6</xdr:row>
      <xdr:rowOff>66761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GrpSpPr/>
      </xdr:nvGrpSpPr>
      <xdr:grpSpPr>
        <a:xfrm>
          <a:off x="7686145" y="230714"/>
          <a:ext cx="2396440" cy="979047"/>
          <a:chOff x="6517216" y="1966383"/>
          <a:chExt cx="2548176" cy="904209"/>
        </a:xfrm>
      </xdr:grpSpPr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0" name="CuadroTexto 19">
                <a:extLst>
                  <a:ext uri="{FF2B5EF4-FFF2-40B4-BE49-F238E27FC236}">
                    <a16:creationId xmlns:a16="http://schemas.microsoft.com/office/drawing/2014/main" id="{00000000-0008-0000-0E00-000014000000}"/>
                  </a:ext>
                </a:extLst>
              </xdr:cNvPr>
              <xdr:cNvSpPr txBox="1"/>
            </xdr:nvSpPr>
            <xdr:spPr>
              <a:xfrm>
                <a:off x="6517216" y="1966383"/>
                <a:ext cx="2507825" cy="3517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s-E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s-ES" sz="1100" b="0" i="1">
                              <a:latin typeface="Cambria Math" panose="02040503050406030204" pitchFamily="18" charset="0"/>
                            </a:rPr>
                            <m:t>𝑆</m:t>
                          </m:r>
                        </m:e>
                        <m:sub>
                          <m:r>
                            <a:rPr lang="es-ES" sz="1100" b="0" i="1">
                              <a:latin typeface="Cambria Math" panose="02040503050406030204" pitchFamily="18" charset="0"/>
                            </a:rPr>
                            <m:t>𝐴𝑖</m:t>
                          </m:r>
                        </m:sub>
                      </m:sSub>
                      <m:r>
                        <a:rPr lang="es-ES" sz="1100" b="0" i="1">
                          <a:latin typeface="Cambria Math" panose="02040503050406030204" pitchFamily="18" charset="0"/>
                        </a:rPr>
                        <m:t>=</m:t>
                      </m:r>
                      <m:f>
                        <m:fPr>
                          <m:ctrlPr>
                            <a:rPr lang="es-E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s-ES" sz="1100" b="0" i="1">
                              <a:latin typeface="Cambria Math" panose="02040503050406030204" pitchFamily="18" charset="0"/>
                            </a:rPr>
                            <m:t>1</m:t>
                          </m:r>
                        </m:num>
                        <m:den>
                          <m:r>
                            <a:rPr lang="es-ES" sz="11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den>
                      </m:f>
                      <m:r>
                        <a:rPr lang="es-ES" sz="11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es-E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d>
                            <m:dPr>
                              <m:ctrlPr>
                                <a:rPr lang="es-ES" sz="11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sSub>
                                <m:sSubPr>
                                  <m:ctrlPr>
                                    <a:rPr lang="es-E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s-ES" sz="1100" b="0" i="1">
                                      <a:latin typeface="Cambria Math" panose="02040503050406030204" pitchFamily="18" charset="0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lang="es-ES" sz="1100" b="0" i="1">
                                      <a:latin typeface="Cambria Math" panose="02040503050406030204" pitchFamily="18" charset="0"/>
                                    </a:rPr>
                                    <m:t>𝐴𝑗</m:t>
                                  </m:r>
                                </m:sub>
                              </m:sSub>
                              <m:r>
                                <a:rPr lang="es-E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s-E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s-ES" sz="1100" b="0" i="1">
                                      <a:latin typeface="Cambria Math" panose="02040503050406030204" pitchFamily="18" charset="0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lang="es-ES" sz="1100" b="0" i="1">
                                      <a:latin typeface="Cambria Math" panose="02040503050406030204" pitchFamily="18" charset="0"/>
                                    </a:rPr>
                                    <m:t>𝐴𝑖</m:t>
                                  </m:r>
                                </m:sub>
                              </m:sSub>
                            </m:e>
                          </m:d>
                          <m:r>
                            <a:rPr lang="es-ES" sz="1100" b="0" i="1">
                              <a:latin typeface="Cambria Math" panose="02040503050406030204" pitchFamily="18" charset="0"/>
                            </a:rPr>
                            <m:t>+</m:t>
                          </m:r>
                          <m:sSub>
                            <m:sSubPr>
                              <m:ctrlPr>
                                <a:rPr lang="es-E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s-E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𝜃</m:t>
                              </m:r>
                            </m:e>
                            <m:sub>
                              <m:r>
                                <a:rPr lang="es-ES" sz="1100" b="0" i="1">
                                  <a:latin typeface="Cambria Math" panose="02040503050406030204" pitchFamily="18" charset="0"/>
                                </a:rPr>
                                <m:t>𝐴</m:t>
                              </m:r>
                            </m:sub>
                          </m:sSub>
                          <m:r>
                            <a:rPr lang="es-ES" sz="11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sSub>
                            <m:sSubPr>
                              <m:ctrlPr>
                                <a:rPr lang="es-E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s-ES" sz="1100" b="0" i="1">
                                  <a:latin typeface="Cambria Math" panose="02040503050406030204" pitchFamily="18" charset="0"/>
                                </a:rPr>
                                <m:t>𝑆</m:t>
                              </m:r>
                            </m:e>
                            <m:sub>
                              <m:r>
                                <a:rPr lang="es-ES" sz="1100" b="0" i="1">
                                  <a:latin typeface="Cambria Math" panose="02040503050406030204" pitchFamily="18" charset="0"/>
                                </a:rPr>
                                <m:t>𝐵𝑖</m:t>
                              </m:r>
                            </m:sub>
                          </m:sSub>
                          <m:r>
                            <a:rPr lang="es-ES" sz="11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sSub>
                            <m:sSubPr>
                              <m:ctrlPr>
                                <a:rPr lang="es-E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s-ES" sz="1100" b="0" i="1">
                                  <a:latin typeface="Cambria Math" panose="02040503050406030204" pitchFamily="18" charset="0"/>
                                </a:rPr>
                                <m:t>𝑆</m:t>
                              </m:r>
                            </m:e>
                            <m:sub>
                              <m:r>
                                <a:rPr lang="es-ES" sz="1100" b="0" i="1">
                                  <a:latin typeface="Cambria Math" panose="02040503050406030204" pitchFamily="18" charset="0"/>
                                </a:rPr>
                                <m:t>𝐵𝑗</m:t>
                              </m:r>
                            </m:sub>
                          </m:sSub>
                          <m:r>
                            <a:rPr lang="es-ES" sz="1100" b="0" i="1">
                              <a:latin typeface="Cambria Math" panose="02040503050406030204" pitchFamily="18" charset="0"/>
                            </a:rPr>
                            <m:t>)</m:t>
                          </m:r>
                        </m:num>
                        <m:den>
                          <m:r>
                            <a:rPr lang="es-ES" sz="1100" b="0" i="1">
                              <a:latin typeface="Cambria Math" panose="02040503050406030204" pitchFamily="18" charset="0"/>
                            </a:rPr>
                            <m:t>2</m:t>
                          </m:r>
                          <m:sSub>
                            <m:sSubPr>
                              <m:ctrlPr>
                                <a:rPr lang="es-E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s-ES" sz="1100" b="0" i="1">
                                  <a:latin typeface="Cambria Math" panose="02040503050406030204" pitchFamily="18" charset="0"/>
                                </a:rPr>
                                <m:t>𝑡</m:t>
                              </m:r>
                            </m:e>
                            <m:sub>
                              <m:r>
                                <a:rPr lang="es-ES" sz="1100" b="0" i="1">
                                  <a:latin typeface="Cambria Math" panose="02040503050406030204" pitchFamily="18" charset="0"/>
                                </a:rPr>
                                <m:t>𝐴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lang="es-AR" sz="1100"/>
              </a:p>
            </xdr:txBody>
          </xdr:sp>
        </mc:Choice>
        <mc:Fallback xmlns="">
          <xdr:sp macro="" textlink="">
            <xdr:nvSpPr>
              <xdr:cNvPr id="20" name="CuadroTexto 19">
                <a:extLst>
                  <a:ext uri="{FF2B5EF4-FFF2-40B4-BE49-F238E27FC236}">
                    <a16:creationId xmlns:a16="http://schemas.microsoft.com/office/drawing/2014/main" id="{D04CC773-DE97-AB18-F0C7-ADB4B522AB54}"/>
                  </a:ext>
                </a:extLst>
              </xdr:cNvPr>
              <xdr:cNvSpPr txBox="1"/>
            </xdr:nvSpPr>
            <xdr:spPr>
              <a:xfrm>
                <a:off x="6517216" y="1966383"/>
                <a:ext cx="2507825" cy="3517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r>
                  <a:rPr lang="es-ES" sz="1100" b="0" i="0">
                    <a:latin typeface="Cambria Math" panose="02040503050406030204" pitchFamily="18" charset="0"/>
                  </a:rPr>
                  <a:t>𝑆_𝐴𝑖=1/2+((𝑃_𝐴𝑗−𝑃_𝐴𝑖 )+</a:t>
                </a:r>
                <a:r>
                  <a:rPr lang="es-ES" sz="1100" b="0" i="0">
                    <a:latin typeface="Cambria Math" panose="02040503050406030204" pitchFamily="18" charset="0"/>
                    <a:ea typeface="Cambria Math" panose="02040503050406030204" pitchFamily="18" charset="0"/>
                  </a:rPr>
                  <a:t>𝜃_</a:t>
                </a:r>
                <a:r>
                  <a:rPr lang="es-ES" sz="1100" b="0" i="0">
                    <a:latin typeface="Cambria Math" panose="02040503050406030204" pitchFamily="18" charset="0"/>
                  </a:rPr>
                  <a:t>𝐴 (𝑆_𝐵𝑖−𝑆_𝐵𝑗))/(2𝑡_𝐴 )</a:t>
                </a:r>
                <a:endParaRPr lang="es-AR" sz="11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2" name="CuadroTexto 21">
                <a:extLst>
                  <a:ext uri="{FF2B5EF4-FFF2-40B4-BE49-F238E27FC236}">
                    <a16:creationId xmlns:a16="http://schemas.microsoft.com/office/drawing/2014/main" id="{00000000-0008-0000-0E00-000016000000}"/>
                  </a:ext>
                </a:extLst>
              </xdr:cNvPr>
              <xdr:cNvSpPr txBox="1"/>
            </xdr:nvSpPr>
            <xdr:spPr>
              <a:xfrm>
                <a:off x="6529917" y="2518833"/>
                <a:ext cx="2535475" cy="351759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kumimoji="0" lang="es-ES" sz="11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kumimoji="0" lang="es-ES" sz="11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𝑆</m:t>
                          </m:r>
                        </m:e>
                        <m:sub>
                          <m:r>
                            <a:rPr kumimoji="0" lang="es-ES" sz="11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𝐵𝑖</m:t>
                          </m:r>
                        </m:sub>
                      </m:sSub>
                      <m:r>
                        <a:rPr kumimoji="0" lang="es-ES" sz="11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=</m:t>
                      </m:r>
                      <m:f>
                        <m:fPr>
                          <m:ctrlPr>
                            <a:rPr kumimoji="0" lang="es-ES" sz="11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kumimoji="0" lang="es-ES" sz="11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1</m:t>
                          </m:r>
                        </m:num>
                        <m:den>
                          <m:r>
                            <a:rPr kumimoji="0" lang="es-ES" sz="11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den>
                      </m:f>
                      <m:r>
                        <a:rPr kumimoji="0" lang="es-ES" sz="1100" b="0" i="1" u="none" strike="noStrike" kern="0" cap="none" spc="0" normalizeH="0" baseline="0" noProof="0" smtClean="0">
                          <a:ln>
                            <a:noFill/>
                          </a:ln>
                          <a:solidFill>
                            <a:sysClr val="windowText" lastClr="000000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f>
                        <m:fPr>
                          <m:ctrlPr>
                            <a:rPr kumimoji="0" lang="es-ES" sz="11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d>
                            <m:dPr>
                              <m:ctrlPr>
                                <a:rPr kumimoji="0" lang="es-ES" sz="11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sSub>
                                <m:sSubPr>
                                  <m:ctrlPr>
                                    <a:rPr kumimoji="0" lang="es-ES" sz="1100" b="0" i="1" u="none" strike="noStrike" kern="0" cap="none" spc="0" normalizeH="0" baseline="0" noProof="0" smtClean="0">
                                      <a:ln>
                                        <a:noFill/>
                                      </a:ln>
                                      <a:solidFill>
                                        <a:sysClr val="windowText" lastClr="000000"/>
                                      </a:solidFill>
                                      <a:effectLst/>
                                      <a:uLnTx/>
                                      <a:uFillTx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kumimoji="0" lang="es-ES" sz="1100" b="0" i="1" u="none" strike="noStrike" kern="0" cap="none" spc="0" normalizeH="0" baseline="0" noProof="0" smtClean="0">
                                      <a:ln>
                                        <a:noFill/>
                                      </a:ln>
                                      <a:solidFill>
                                        <a:sysClr val="windowText" lastClr="000000"/>
                                      </a:solidFill>
                                      <a:effectLst/>
                                      <a:uLnTx/>
                                      <a:uFillTx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kumimoji="0" lang="es-ES" sz="1100" b="0" i="1" u="none" strike="noStrike" kern="0" cap="none" spc="0" normalizeH="0" baseline="0" noProof="0" smtClean="0">
                                      <a:ln>
                                        <a:noFill/>
                                      </a:ln>
                                      <a:solidFill>
                                        <a:sysClr val="windowText" lastClr="000000"/>
                                      </a:solidFill>
                                      <a:effectLst/>
                                      <a:uLnTx/>
                                      <a:uFillTx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𝐵𝑗</m:t>
                                  </m:r>
                                </m:sub>
                              </m:sSub>
                              <m:r>
                                <a:rPr kumimoji="0" lang="es-ES" sz="11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kumimoji="0" lang="es-ES" sz="1100" b="0" i="1" u="none" strike="noStrike" kern="0" cap="none" spc="0" normalizeH="0" baseline="0" noProof="0" smtClean="0">
                                      <a:ln>
                                        <a:noFill/>
                                      </a:ln>
                                      <a:solidFill>
                                        <a:sysClr val="windowText" lastClr="000000"/>
                                      </a:solidFill>
                                      <a:effectLst/>
                                      <a:uLnTx/>
                                      <a:uFillTx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kumimoji="0" lang="es-ES" sz="1100" b="0" i="1" u="none" strike="noStrike" kern="0" cap="none" spc="0" normalizeH="0" baseline="0" noProof="0" smtClean="0">
                                      <a:ln>
                                        <a:noFill/>
                                      </a:ln>
                                      <a:solidFill>
                                        <a:sysClr val="windowText" lastClr="000000"/>
                                      </a:solidFill>
                                      <a:effectLst/>
                                      <a:uLnTx/>
                                      <a:uFillTx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r>
                                    <a:rPr kumimoji="0" lang="es-ES" sz="1100" b="0" i="1" u="none" strike="noStrike" kern="0" cap="none" spc="0" normalizeH="0" baseline="0" noProof="0" smtClean="0">
                                      <a:ln>
                                        <a:noFill/>
                                      </a:ln>
                                      <a:solidFill>
                                        <a:sysClr val="windowText" lastClr="000000"/>
                                      </a:solidFill>
                                      <a:effectLst/>
                                      <a:uLnTx/>
                                      <a:uFillTx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𝐵𝑖</m:t>
                                  </m:r>
                                </m:sub>
                              </m:sSub>
                            </m:e>
                          </m:d>
                          <m:r>
                            <a:rPr kumimoji="0" lang="es-ES" sz="11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</m:t>
                          </m:r>
                          <m:sSub>
                            <m:sSubPr>
                              <m:ctrlPr>
                                <a:rPr kumimoji="0" lang="es-ES" sz="11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kumimoji="0" lang="es-ES" sz="11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𝜃</m:t>
                              </m:r>
                            </m:e>
                            <m:sub>
                              <m:r>
                                <a:rPr kumimoji="0" lang="es-ES" sz="11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𝐵</m:t>
                              </m:r>
                            </m:sub>
                          </m:sSub>
                          <m:r>
                            <a:rPr kumimoji="0" lang="es-ES" sz="11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</m:t>
                          </m:r>
                          <m:sSub>
                            <m:sSubPr>
                              <m:ctrlPr>
                                <a:rPr kumimoji="0" lang="es-ES" sz="11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kumimoji="0" lang="es-ES" sz="11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𝑆</m:t>
                              </m:r>
                            </m:e>
                            <m:sub>
                              <m:r>
                                <a:rPr kumimoji="0" lang="es-ES" sz="11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𝐴𝑖</m:t>
                              </m:r>
                            </m:sub>
                          </m:sSub>
                          <m:r>
                            <a:rPr kumimoji="0" lang="es-ES" sz="11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−</m:t>
                          </m:r>
                          <m:sSub>
                            <m:sSubPr>
                              <m:ctrlPr>
                                <a:rPr kumimoji="0" lang="es-ES" sz="11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kumimoji="0" lang="es-ES" sz="11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𝑆</m:t>
                              </m:r>
                            </m:e>
                            <m:sub>
                              <m:r>
                                <a:rPr kumimoji="0" lang="es-ES" sz="11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𝐴𝑗</m:t>
                              </m:r>
                            </m:sub>
                          </m:sSub>
                          <m:r>
                            <a:rPr kumimoji="0" lang="es-ES" sz="11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num>
                        <m:den>
                          <m:r>
                            <a:rPr kumimoji="0" lang="es-ES" sz="1100" b="0" i="1" u="none" strike="noStrike" kern="0" cap="none" spc="0" normalizeH="0" baseline="0" noProof="0" smtClean="0">
                              <a:ln>
                                <a:noFill/>
                              </a:ln>
                              <a:solidFill>
                                <a:sysClr val="windowText" lastClr="000000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  <m:sSub>
                            <m:sSubPr>
                              <m:ctrlPr>
                                <a:rPr kumimoji="0" lang="es-ES" sz="11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kumimoji="0" lang="es-ES" sz="11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e>
                            <m:sub>
                              <m:r>
                                <a:rPr kumimoji="0" lang="es-ES" sz="1100" b="0" i="1" u="none" strike="noStrike" kern="0" cap="none" spc="0" normalizeH="0" baseline="0" noProof="0" smtClean="0">
                                  <a:ln>
                                    <a:noFill/>
                                  </a:ln>
                                  <a:solidFill>
                                    <a:sysClr val="windowText" lastClr="000000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𝐵</m:t>
                              </m:r>
                            </m:sub>
                          </m:sSub>
                        </m:den>
                      </m:f>
                    </m:oMath>
                  </m:oMathPara>
                </a14:m>
                <a:endParaRPr kumimoji="0" lang="es-A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</mc:Choice>
        <mc:Fallback xmlns="">
          <xdr:sp macro="" textlink="">
            <xdr:nvSpPr>
              <xdr:cNvPr id="22" name="CuadroTexto 21">
                <a:extLst>
                  <a:ext uri="{FF2B5EF4-FFF2-40B4-BE49-F238E27FC236}">
                    <a16:creationId xmlns:a16="http://schemas.microsoft.com/office/drawing/2014/main" id="{40081AEC-DAFB-4EF6-BB04-37CF2670DC58}"/>
                  </a:ext>
                </a:extLst>
              </xdr:cNvPr>
              <xdr:cNvSpPr txBox="1"/>
            </xdr:nvSpPr>
            <xdr:spPr>
              <a:xfrm>
                <a:off x="6529917" y="2518833"/>
                <a:ext cx="2535475" cy="351759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 marL="0" marR="0" lvl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s-ES" sz="11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mbria Math" panose="02040503050406030204" pitchFamily="18" charset="0"/>
                    <a:ea typeface="+mn-ea"/>
                    <a:cs typeface="+mn-cs"/>
                  </a:rPr>
                  <a:t>𝑆_𝐵𝑖=1/2+((𝑃_𝐵𝑗−𝑃_𝐵𝑖 )+</a:t>
                </a:r>
                <a:r>
                  <a:rPr kumimoji="0" lang="es-ES" sz="11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mbria Math" panose="02040503050406030204" pitchFamily="18" charset="0"/>
                    <a:ea typeface="Cambria Math" panose="02040503050406030204" pitchFamily="18" charset="0"/>
                    <a:cs typeface="+mn-cs"/>
                  </a:rPr>
                  <a:t>𝜃</a:t>
                </a:r>
                <a:r>
                  <a:rPr kumimoji="0" lang="es-ES" sz="1100" b="0" i="0" u="none" strike="noStrike" kern="0" cap="none" spc="0" normalizeH="0" baseline="0" noProof="0">
                    <a:ln>
                      <a:noFill/>
                    </a:ln>
                    <a:solidFill>
                      <a:sysClr val="windowText" lastClr="000000"/>
                    </a:solidFill>
                    <a:effectLst/>
                    <a:uLnTx/>
                    <a:uFillTx/>
                    <a:latin typeface="Cambria Math" panose="02040503050406030204" pitchFamily="18" charset="0"/>
                    <a:ea typeface="+mn-ea"/>
                    <a:cs typeface="+mn-cs"/>
                  </a:rPr>
                  <a:t>_𝐵 (𝑆_𝐴𝑖−𝑆_𝐴𝑗))/(2𝑡_𝐵 )</a:t>
                </a:r>
                <a:endParaRPr kumimoji="0" lang="es-A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endParaRPr>
              </a:p>
            </xdr:txBody>
          </xdr:sp>
        </mc:Fallback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9525</xdr:rowOff>
        </xdr:from>
        <xdr:to>
          <xdr:col>6</xdr:col>
          <xdr:colOff>1485900</xdr:colOff>
          <xdr:row>2</xdr:row>
          <xdr:rowOff>85725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E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 equilibrios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83344</xdr:colOff>
      <xdr:row>2</xdr:row>
      <xdr:rowOff>142874</xdr:rowOff>
    </xdr:from>
    <xdr:to>
      <xdr:col>6</xdr:col>
      <xdr:colOff>1428749</xdr:colOff>
      <xdr:row>5</xdr:row>
      <xdr:rowOff>166687</xdr:rowOff>
    </xdr:to>
    <xdr:grpSp>
      <xdr:nvGrpSpPr>
        <xdr:cNvPr id="24" name="Grupo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5703094" y="523874"/>
          <a:ext cx="1345405" cy="595313"/>
          <a:chOff x="85725" y="771525"/>
          <a:chExt cx="1733550" cy="457200"/>
        </a:xfrm>
      </xdr:grpSpPr>
      <xdr:sp macro="" textlink="">
        <xdr:nvSpPr>
          <xdr:cNvPr id="25" name="Rectángulo: esquinas redondeadas 2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6" name="CuadroTexto 25">
            <a:extLst>
              <a:ext uri="{FF2B5EF4-FFF2-40B4-BE49-F238E27FC236}">
                <a16:creationId xmlns:a16="http://schemas.microsoft.com/office/drawing/2014/main" id="{00000000-0008-0000-0E00-00001A000000}"/>
              </a:ext>
            </a:extLst>
          </xdr:cNvPr>
          <xdr:cNvSpPr txBox="1"/>
        </xdr:nvSpPr>
        <xdr:spPr>
          <a:xfrm>
            <a:off x="85725" y="771526"/>
            <a:ext cx="1733550" cy="448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AR" sz="1200"/>
              <a:t>INICIO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226217</xdr:colOff>
      <xdr:row>16</xdr:row>
      <xdr:rowOff>44980</xdr:rowOff>
    </xdr:from>
    <xdr:to>
      <xdr:col>10</xdr:col>
      <xdr:colOff>661455</xdr:colOff>
      <xdr:row>18</xdr:row>
      <xdr:rowOff>91283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7147717" y="3114147"/>
          <a:ext cx="1345405" cy="448469"/>
          <a:chOff x="85725" y="771525"/>
          <a:chExt cx="1733550" cy="457200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 txBox="1"/>
        </xdr:nvSpPr>
        <xdr:spPr>
          <a:xfrm>
            <a:off x="85725" y="771526"/>
            <a:ext cx="1733550" cy="448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AR" sz="1200"/>
              <a:t>INICIO</a:t>
            </a:r>
          </a:p>
        </xdr:txBody>
      </xdr:sp>
    </xdr:grpSp>
    <xdr:clientData/>
  </xdr:twoCellAnchor>
  <xdr:oneCellAnchor>
    <xdr:from>
      <xdr:col>1</xdr:col>
      <xdr:colOff>10583</xdr:colOff>
      <xdr:row>1</xdr:row>
      <xdr:rowOff>10583</xdr:rowOff>
    </xdr:from>
    <xdr:ext cx="12448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F00-000005000000}"/>
                </a:ext>
              </a:extLst>
            </xdr:cNvPr>
            <xdr:cNvSpPr txBox="1"/>
          </xdr:nvSpPr>
          <xdr:spPr>
            <a:xfrm>
              <a:off x="458258" y="2010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1E58033E-E431-4442-BCDC-209B7C1520EE}"/>
                </a:ext>
              </a:extLst>
            </xdr:cNvPr>
            <xdr:cNvSpPr txBox="1"/>
          </xdr:nvSpPr>
          <xdr:spPr>
            <a:xfrm>
              <a:off x="458258" y="2010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𝐷𝑒𝑚𝑎𝑛𝑑𝑎=𝐴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∙𝑃^(−𝜀)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0</xdr:colOff>
      <xdr:row>3</xdr:row>
      <xdr:rowOff>0</xdr:rowOff>
    </xdr:from>
    <xdr:ext cx="1812035" cy="1949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F00-000006000000}"/>
                </a:ext>
              </a:extLst>
            </xdr:cNvPr>
            <xdr:cNvSpPr txBox="1"/>
          </xdr:nvSpPr>
          <xdr:spPr>
            <a:xfrm>
              <a:off x="511969" y="571500"/>
              <a:ext cx="1812035" cy="1949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𝑐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𝑍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  <m:sSub>
                          <m:sSub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𝑍</m:t>
                            </m:r>
                          </m:e>
                          <m:sub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𝑗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  <m:sSubSup>
                      <m:sSub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𝑍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43221E78-1BFF-49F9-979B-DADD2E443487}"/>
                </a:ext>
              </a:extLst>
            </xdr:cNvPr>
            <xdr:cNvSpPr txBox="1"/>
          </xdr:nvSpPr>
          <xdr:spPr>
            <a:xfrm>
              <a:off x="511969" y="571500"/>
              <a:ext cx="1812035" cy="1949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C𝑇_𝑖=(𝑐−𝑍_𝑖−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𝛽𝑍_𝑗 ) 𝑋_𝑖+𝛾𝑍_𝑖^2</a:t>
              </a:r>
              <a:endParaRPr lang="es-A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114300</xdr:rowOff>
        </xdr:from>
        <xdr:to>
          <xdr:col>9</xdr:col>
          <xdr:colOff>371475</xdr:colOff>
          <xdr:row>10</xdr:row>
          <xdr:rowOff>57150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F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Competencia Cournot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523875</xdr:colOff>
          <xdr:row>7</xdr:row>
          <xdr:rowOff>114300</xdr:rowOff>
        </xdr:from>
        <xdr:to>
          <xdr:col>12</xdr:col>
          <xdr:colOff>504825</xdr:colOff>
          <xdr:row>10</xdr:row>
          <xdr:rowOff>57150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F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Competencia Stackelber (lider)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11</xdr:row>
          <xdr:rowOff>152400</xdr:rowOff>
        </xdr:from>
        <xdr:to>
          <xdr:col>9</xdr:col>
          <xdr:colOff>361950</xdr:colOff>
          <xdr:row>14</xdr:row>
          <xdr:rowOff>123825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F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Alianza (RJV)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133350</xdr:rowOff>
        </xdr:from>
        <xdr:to>
          <xdr:col>12</xdr:col>
          <xdr:colOff>495300</xdr:colOff>
          <xdr:row>14</xdr:row>
          <xdr:rowOff>104775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F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Comparativa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506413</xdr:colOff>
      <xdr:row>4</xdr:row>
      <xdr:rowOff>76200</xdr:rowOff>
    </xdr:from>
    <xdr:to>
      <xdr:col>9</xdr:col>
      <xdr:colOff>399256</xdr:colOff>
      <xdr:row>10</xdr:row>
      <xdr:rowOff>40482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5078413" y="838200"/>
          <a:ext cx="2178843" cy="1107282"/>
          <a:chOff x="78081" y="766485"/>
          <a:chExt cx="1748673" cy="468749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  <a:solidFill>
            <a:srgbClr val="4472C4"/>
          </a:solidFill>
          <a:ln w="12700" cap="flat" cmpd="sng" algn="ctr">
            <a:solidFill>
              <a:srgbClr val="4472C4">
                <a:shade val="15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A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 txBox="1"/>
        </xdr:nvSpPr>
        <xdr:spPr>
          <a:xfrm>
            <a:off x="78081" y="766485"/>
            <a:ext cx="1748673" cy="4687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AR" sz="12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INICIO</a:t>
            </a:r>
          </a:p>
        </xdr:txBody>
      </xdr:sp>
    </xdr:grpSp>
    <xdr:clientData/>
  </xdr:twoCellAnchor>
  <xdr:twoCellAnchor>
    <xdr:from>
      <xdr:col>3</xdr:col>
      <xdr:colOff>66675</xdr:colOff>
      <xdr:row>11</xdr:row>
      <xdr:rowOff>152398</xdr:rowOff>
    </xdr:from>
    <xdr:to>
      <xdr:col>5</xdr:col>
      <xdr:colOff>695326</xdr:colOff>
      <xdr:row>17</xdr:row>
      <xdr:rowOff>85725</xdr:rowOff>
    </xdr:to>
    <xdr:grpSp>
      <xdr:nvGrpSpPr>
        <xdr:cNvPr id="20" name="Grupo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GrpSpPr/>
      </xdr:nvGrpSpPr>
      <xdr:grpSpPr>
        <a:xfrm>
          <a:off x="2352675" y="2247898"/>
          <a:ext cx="2152651" cy="1076327"/>
          <a:chOff x="38099" y="781049"/>
          <a:chExt cx="2514601" cy="638176"/>
        </a:xfrm>
      </xdr:grpSpPr>
      <xdr:grpSp>
        <xdr:nvGrpSpPr>
          <xdr:cNvPr id="21" name="Grupo 20">
            <a:extLst>
              <a:ext uri="{FF2B5EF4-FFF2-40B4-BE49-F238E27FC236}">
                <a16:creationId xmlns:a16="http://schemas.microsoft.com/office/drawing/2014/main" id="{00000000-0008-0000-1000-000015000000}"/>
              </a:ext>
            </a:extLst>
          </xdr:cNvPr>
          <xdr:cNvGrpSpPr/>
        </xdr:nvGrpSpPr>
        <xdr:grpSpPr>
          <a:xfrm>
            <a:off x="38099" y="781049"/>
            <a:ext cx="2514601" cy="638176"/>
            <a:chOff x="85724" y="771525"/>
            <a:chExt cx="1733551" cy="457201"/>
          </a:xfrm>
        </xdr:grpSpPr>
        <xdr:sp macro="" textlink="">
          <xdr:nvSpPr>
            <xdr:cNvPr id="23" name="Rectángulo: esquinas redondeadas 22">
              <a:extLst>
                <a:ext uri="{FF2B5EF4-FFF2-40B4-BE49-F238E27FC236}">
                  <a16:creationId xmlns:a16="http://schemas.microsoft.com/office/drawing/2014/main" id="{00000000-0008-0000-1000-000017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1000-000018000000}"/>
                </a:ext>
              </a:extLst>
            </xdr:cNvPr>
            <xdr:cNvSpPr txBox="1"/>
          </xdr:nvSpPr>
          <xdr:spPr>
            <a:xfrm>
              <a:off x="85724" y="771526"/>
              <a:ext cx="1725880" cy="4572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AR" sz="1200" baseline="0"/>
                <a:t>FRANQUICIAS</a:t>
              </a:r>
              <a:endParaRPr lang="es-AR" sz="1200"/>
            </a:p>
          </xdr:txBody>
        </xdr:sp>
      </xdr:grpSp>
      <xdr:sp macro="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00000000-0008-0000-1000-000016000000}"/>
              </a:ext>
            </a:extLst>
          </xdr:cNvPr>
          <xdr:cNvSpPr txBox="1"/>
        </xdr:nvSpPr>
        <xdr:spPr>
          <a:xfrm>
            <a:off x="425422" y="1184304"/>
            <a:ext cx="166687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900">
                <a:solidFill>
                  <a:schemeClr val="tx1">
                    <a:lumMod val="75000"/>
                    <a:lumOff val="25000"/>
                  </a:schemeClr>
                </a:solidFill>
              </a:rPr>
              <a:t>Modelo</a:t>
            </a:r>
            <a:r>
              <a:rPr lang="es-AR" sz="9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de T2P</a:t>
            </a:r>
            <a:endParaRPr lang="es-AR" sz="9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504824</xdr:colOff>
      <xdr:row>11</xdr:row>
      <xdr:rowOff>142877</xdr:rowOff>
    </xdr:from>
    <xdr:to>
      <xdr:col>9</xdr:col>
      <xdr:colOff>390526</xdr:colOff>
      <xdr:row>17</xdr:row>
      <xdr:rowOff>95254</xdr:rowOff>
    </xdr:to>
    <xdr:grpSp>
      <xdr:nvGrpSpPr>
        <xdr:cNvPr id="25" name="Grupo 2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GrpSpPr/>
      </xdr:nvGrpSpPr>
      <xdr:grpSpPr>
        <a:xfrm>
          <a:off x="5076824" y="2238377"/>
          <a:ext cx="2171702" cy="1095377"/>
          <a:chOff x="38100" y="781051"/>
          <a:chExt cx="2519388" cy="643774"/>
        </a:xfrm>
      </xdr:grpSpPr>
      <xdr:grpSp>
        <xdr:nvGrpSpPr>
          <xdr:cNvPr id="26" name="Grupo 25">
            <a:extLst>
              <a:ext uri="{FF2B5EF4-FFF2-40B4-BE49-F238E27FC236}">
                <a16:creationId xmlns:a16="http://schemas.microsoft.com/office/drawing/2014/main" id="{00000000-0008-0000-1000-00001A000000}"/>
              </a:ext>
            </a:extLst>
          </xdr:cNvPr>
          <xdr:cNvGrpSpPr/>
        </xdr:nvGrpSpPr>
        <xdr:grpSpPr>
          <a:xfrm>
            <a:off x="38100" y="781051"/>
            <a:ext cx="2519388" cy="643774"/>
            <a:chOff x="85725" y="771525"/>
            <a:chExt cx="1736851" cy="461211"/>
          </a:xfrm>
        </xdr:grpSpPr>
        <xdr:sp macro="" textlink="">
          <xdr:nvSpPr>
            <xdr:cNvPr id="28" name="Rectángulo: esquinas redondeadas 27">
              <a:extLst>
                <a:ext uri="{FF2B5EF4-FFF2-40B4-BE49-F238E27FC236}">
                  <a16:creationId xmlns:a16="http://schemas.microsoft.com/office/drawing/2014/main" id="{00000000-0008-0000-1000-00001C000000}"/>
                </a:ext>
              </a:extLst>
            </xdr:cNvPr>
            <xdr:cNvSpPr/>
          </xdr:nvSpPr>
          <xdr:spPr>
            <a:xfrm>
              <a:off x="85725" y="771525"/>
              <a:ext cx="1733550" cy="4572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AR" sz="1100"/>
            </a:p>
          </xdr:txBody>
        </xdr:sp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00000000-0008-0000-1000-00001D000000}"/>
                </a:ext>
              </a:extLst>
            </xdr:cNvPr>
            <xdr:cNvSpPr txBox="1"/>
          </xdr:nvSpPr>
          <xdr:spPr>
            <a:xfrm>
              <a:off x="85727" y="771525"/>
              <a:ext cx="1736849" cy="4612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AR" sz="1200" baseline="0"/>
                <a:t>INTEGRACION VERTICAL</a:t>
              </a:r>
              <a:endParaRPr lang="es-AR" sz="1200"/>
            </a:p>
          </xdr:txBody>
        </xdr:sp>
      </xdr:grpSp>
      <xdr:sp macro="" textlink="">
        <xdr:nvSpPr>
          <xdr:cNvPr id="27" name="CuadroTexto 26">
            <a:extLst>
              <a:ext uri="{FF2B5EF4-FFF2-40B4-BE49-F238E27FC236}">
                <a16:creationId xmlns:a16="http://schemas.microsoft.com/office/drawing/2014/main" id="{00000000-0008-0000-1000-00001B000000}"/>
              </a:ext>
            </a:extLst>
          </xdr:cNvPr>
          <xdr:cNvSpPr txBox="1"/>
        </xdr:nvSpPr>
        <xdr:spPr>
          <a:xfrm>
            <a:off x="425575" y="1200653"/>
            <a:ext cx="1666875" cy="1737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900">
                <a:solidFill>
                  <a:schemeClr val="tx1">
                    <a:lumMod val="75000"/>
                    <a:lumOff val="25000"/>
                  </a:schemeClr>
                </a:solidFill>
              </a:rPr>
              <a:t>M&amp;A</a:t>
            </a:r>
          </a:p>
        </xdr:txBody>
      </xdr:sp>
    </xdr:grpSp>
    <xdr:clientData/>
  </xdr:twoCellAnchor>
  <xdr:twoCellAnchor>
    <xdr:from>
      <xdr:col>10</xdr:col>
      <xdr:colOff>133350</xdr:colOff>
      <xdr:row>11</xdr:row>
      <xdr:rowOff>152400</xdr:rowOff>
    </xdr:from>
    <xdr:to>
      <xdr:col>13</xdr:col>
      <xdr:colOff>0</xdr:colOff>
      <xdr:row>17</xdr:row>
      <xdr:rowOff>95250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7753350" y="2247900"/>
          <a:ext cx="2152650" cy="1085850"/>
          <a:chOff x="7753350" y="2247900"/>
          <a:chExt cx="2152650" cy="1085850"/>
        </a:xfrm>
      </xdr:grpSpPr>
      <xdr:grpSp>
        <xdr:nvGrpSpPr>
          <xdr:cNvPr id="30" name="Grupo 2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1E000000}"/>
              </a:ext>
            </a:extLst>
          </xdr:cNvPr>
          <xdr:cNvGrpSpPr/>
        </xdr:nvGrpSpPr>
        <xdr:grpSpPr>
          <a:xfrm>
            <a:off x="7753350" y="2247900"/>
            <a:ext cx="2152650" cy="1085850"/>
            <a:chOff x="38100" y="781050"/>
            <a:chExt cx="2514600" cy="638175"/>
          </a:xfrm>
        </xdr:grpSpPr>
        <xdr:grpSp>
          <xdr:nvGrpSpPr>
            <xdr:cNvPr id="31" name="Grupo 30">
              <a:extLst>
                <a:ext uri="{FF2B5EF4-FFF2-40B4-BE49-F238E27FC236}">
                  <a16:creationId xmlns:a16="http://schemas.microsoft.com/office/drawing/2014/main" id="{00000000-0008-0000-1000-00001F000000}"/>
                </a:ext>
              </a:extLst>
            </xdr:cNvPr>
            <xdr:cNvGrpSpPr/>
          </xdr:nvGrpSpPr>
          <xdr:grpSpPr>
            <a:xfrm>
              <a:off x="38100" y="781050"/>
              <a:ext cx="2514600" cy="638175"/>
              <a:chOff x="85725" y="771525"/>
              <a:chExt cx="1733550" cy="457200"/>
            </a:xfrm>
          </xdr:grpSpPr>
          <xdr:sp macro="" textlink="">
            <xdr:nvSpPr>
              <xdr:cNvPr id="33" name="Rectángulo: esquinas redondeadas 32">
                <a:extLst>
                  <a:ext uri="{FF2B5EF4-FFF2-40B4-BE49-F238E27FC236}">
                    <a16:creationId xmlns:a16="http://schemas.microsoft.com/office/drawing/2014/main" id="{00000000-0008-0000-1000-000021000000}"/>
                  </a:ext>
                </a:extLst>
              </xdr:cNvPr>
              <xdr:cNvSpPr/>
            </xdr:nvSpPr>
            <xdr:spPr>
              <a:xfrm>
                <a:off x="85725" y="771525"/>
                <a:ext cx="1733550" cy="457200"/>
              </a:xfrm>
              <a:prstGeom prst="roundRect">
                <a:avLst/>
              </a:prstGeom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AR" sz="1100"/>
              </a:p>
            </xdr:txBody>
          </xdr:sp>
          <xdr:sp macro="" textlink="">
            <xdr:nvSpPr>
              <xdr:cNvPr id="34" name="CuadroTexto 33">
                <a:extLst>
                  <a:ext uri="{FF2B5EF4-FFF2-40B4-BE49-F238E27FC236}">
                    <a16:creationId xmlns:a16="http://schemas.microsoft.com/office/drawing/2014/main" id="{00000000-0008-0000-1000-000022000000}"/>
                  </a:ext>
                </a:extLst>
              </xdr:cNvPr>
              <xdr:cNvSpPr txBox="1"/>
            </xdr:nvSpPr>
            <xdr:spPr>
              <a:xfrm>
                <a:off x="85725" y="771525"/>
                <a:ext cx="1733550" cy="4572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s-AR" sz="1200" baseline="0"/>
                  <a:t>CONTRATOS DE EXCLUSIVIDAD</a:t>
                </a:r>
                <a:endParaRPr lang="es-AR" sz="1200"/>
              </a:p>
            </xdr:txBody>
          </xdr:sp>
        </xdr:grpSp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00000000-0008-0000-1000-000020000000}"/>
                </a:ext>
              </a:extLst>
            </xdr:cNvPr>
            <xdr:cNvSpPr txBox="1"/>
          </xdr:nvSpPr>
          <xdr:spPr>
            <a:xfrm>
              <a:off x="425422" y="1183858"/>
              <a:ext cx="1666875" cy="1457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es-AR" sz="9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SpPr txBox="1"/>
        </xdr:nvSpPr>
        <xdr:spPr>
          <a:xfrm>
            <a:off x="8096250" y="2895600"/>
            <a:ext cx="1436839" cy="2956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AR" sz="900">
                <a:solidFill>
                  <a:schemeClr val="tx1">
                    <a:lumMod val="75000"/>
                    <a:lumOff val="25000"/>
                  </a:schemeClr>
                </a:solidFill>
              </a:rPr>
              <a:t>Diseño</a:t>
            </a:r>
            <a:r>
              <a:rPr lang="es-AR" sz="9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de contratos</a:t>
            </a:r>
            <a:endParaRPr lang="es-AR" sz="9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430741</xdr:colOff>
      <xdr:row>5</xdr:row>
      <xdr:rowOff>149227</xdr:rowOff>
    </xdr:from>
    <xdr:to>
      <xdr:col>8</xdr:col>
      <xdr:colOff>134408</xdr:colOff>
      <xdr:row>8</xdr:row>
      <xdr:rowOff>56093</xdr:rowOff>
    </xdr:to>
    <xdr:grpSp>
      <xdr:nvGrpSpPr>
        <xdr:cNvPr id="6" name="Grup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4850341" y="1101727"/>
          <a:ext cx="1227667" cy="497416"/>
          <a:chOff x="85724" y="771525"/>
          <a:chExt cx="1733551" cy="457201"/>
        </a:xfrm>
      </xdr:grpSpPr>
      <xdr:sp macro="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00000000-0008-0000-1100-000009000000}"/>
              </a:ext>
            </a:extLst>
          </xdr:cNvPr>
          <xdr:cNvSpPr txBox="1"/>
        </xdr:nvSpPr>
        <xdr:spPr>
          <a:xfrm>
            <a:off x="85724" y="771526"/>
            <a:ext cx="172588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AR" sz="1200" baseline="0"/>
              <a:t>ATRAS</a:t>
            </a:r>
            <a:endParaRPr lang="es-AR" sz="1200"/>
          </a:p>
        </xdr:txBody>
      </xdr:sp>
    </xdr:grpSp>
    <xdr:clientData/>
  </xdr:twoCellAnchor>
  <xdr:oneCellAnchor>
    <xdr:from>
      <xdr:col>1</xdr:col>
      <xdr:colOff>11906</xdr:colOff>
      <xdr:row>1</xdr:row>
      <xdr:rowOff>11906</xdr:rowOff>
    </xdr:from>
    <xdr:ext cx="111896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0000000-0008-0000-1100-00000B000000}"/>
                </a:ext>
              </a:extLst>
            </xdr:cNvPr>
            <xdr:cNvSpPr txBox="1"/>
          </xdr:nvSpPr>
          <xdr:spPr>
            <a:xfrm>
              <a:off x="22852856" y="583406"/>
              <a:ext cx="11189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: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𝑏𝑃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A989C905-2B13-4602-999F-F0A486F3CA3F}"/>
                </a:ext>
              </a:extLst>
            </xdr:cNvPr>
            <xdr:cNvSpPr txBox="1"/>
          </xdr:nvSpPr>
          <xdr:spPr>
            <a:xfrm>
              <a:off x="22852856" y="583406"/>
              <a:ext cx="11189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𝐷𝑒𝑚𝑎𝑛𝑑𝑎:𝑎−𝑏𝑃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15875</xdr:colOff>
      <xdr:row>3</xdr:row>
      <xdr:rowOff>0</xdr:rowOff>
    </xdr:from>
    <xdr:ext cx="4483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1100-00000C000000}"/>
                </a:ext>
              </a:extLst>
            </xdr:cNvPr>
            <xdr:cNvSpPr txBox="1"/>
          </xdr:nvSpPr>
          <xdr:spPr>
            <a:xfrm>
              <a:off x="534458" y="571500"/>
              <a:ext cx="4483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𝑚𝑔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: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E5D881A3-287A-42A6-89F5-C7DDF2B12125}"/>
                </a:ext>
              </a:extLst>
            </xdr:cNvPr>
            <xdr:cNvSpPr txBox="1"/>
          </xdr:nvSpPr>
          <xdr:spPr>
            <a:xfrm>
              <a:off x="534458" y="571500"/>
              <a:ext cx="4483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C𝑚𝑔:𝑐</a:t>
              </a:r>
              <a:endParaRPr lang="es-A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1</xdr:row>
          <xdr:rowOff>161925</xdr:rowOff>
        </xdr:from>
        <xdr:to>
          <xdr:col>8</xdr:col>
          <xdr:colOff>266700</xdr:colOff>
          <xdr:row>4</xdr:row>
          <xdr:rowOff>85725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1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 equilibrios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502443</xdr:colOff>
      <xdr:row>10</xdr:row>
      <xdr:rowOff>7144</xdr:rowOff>
    </xdr:from>
    <xdr:to>
      <xdr:col>17</xdr:col>
      <xdr:colOff>79904</xdr:colOff>
      <xdr:row>12</xdr:row>
      <xdr:rowOff>87841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10757693" y="1933311"/>
          <a:ext cx="1270794" cy="472280"/>
          <a:chOff x="85724" y="771525"/>
          <a:chExt cx="1733551" cy="457201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  <a:solidFill>
            <a:srgbClr val="4472C4"/>
          </a:solidFill>
          <a:ln w="12700" cap="flat" cmpd="sng" algn="ctr">
            <a:solidFill>
              <a:srgbClr val="4472C4">
                <a:shade val="15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A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 txBox="1"/>
        </xdr:nvSpPr>
        <xdr:spPr>
          <a:xfrm>
            <a:off x="85724" y="771526"/>
            <a:ext cx="1725880" cy="4572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AR" sz="12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ATRAS</a:t>
            </a:r>
          </a:p>
        </xdr:txBody>
      </xdr:sp>
    </xdr:grpSp>
    <xdr:clientData/>
  </xdr:twoCellAnchor>
  <xdr:oneCellAnchor>
    <xdr:from>
      <xdr:col>1</xdr:col>
      <xdr:colOff>22490</xdr:colOff>
      <xdr:row>1</xdr:row>
      <xdr:rowOff>34396</xdr:rowOff>
    </xdr:from>
    <xdr:ext cx="124200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1200-000005000000}"/>
                </a:ext>
              </a:extLst>
            </xdr:cNvPr>
            <xdr:cNvSpPr txBox="1"/>
          </xdr:nvSpPr>
          <xdr:spPr>
            <a:xfrm>
              <a:off x="534459" y="224896"/>
              <a:ext cx="12420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𝑏𝑃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AE4522C3-67C7-4CA4-ADD0-4A2D5763823D}"/>
                </a:ext>
              </a:extLst>
            </xdr:cNvPr>
            <xdr:cNvSpPr txBox="1"/>
          </xdr:nvSpPr>
          <xdr:spPr>
            <a:xfrm>
              <a:off x="534459" y="224896"/>
              <a:ext cx="12420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𝐷𝑒𝑚𝑎𝑛𝑑𝑎=𝑎−𝑏𝑃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11906</xdr:colOff>
      <xdr:row>5</xdr:row>
      <xdr:rowOff>0</xdr:rowOff>
    </xdr:from>
    <xdr:ext cx="57618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1200-00000C000000}"/>
                </a:ext>
              </a:extLst>
            </xdr:cNvPr>
            <xdr:cNvSpPr txBox="1"/>
          </xdr:nvSpPr>
          <xdr:spPr>
            <a:xfrm>
              <a:off x="523875" y="964406"/>
              <a:ext cx="5761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𝐶𝑚𝑔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E6F2665C-7BBB-4C5A-942A-2B6A4AD9D332}"/>
                </a:ext>
              </a:extLst>
            </xdr:cNvPr>
            <xdr:cNvSpPr txBox="1"/>
          </xdr:nvSpPr>
          <xdr:spPr>
            <a:xfrm>
              <a:off x="523875" y="964406"/>
              <a:ext cx="5761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𝐶𝑚𝑔=𝑐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8</xdr:col>
      <xdr:colOff>11906</xdr:colOff>
      <xdr:row>5</xdr:row>
      <xdr:rowOff>0</xdr:rowOff>
    </xdr:from>
    <xdr:ext cx="57618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1200-00000E000000}"/>
                </a:ext>
              </a:extLst>
            </xdr:cNvPr>
            <xdr:cNvSpPr txBox="1"/>
          </xdr:nvSpPr>
          <xdr:spPr>
            <a:xfrm>
              <a:off x="5357812" y="964406"/>
              <a:ext cx="5761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𝐶𝑚𝑔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755748E9-F33C-45E7-A3D2-9E84E8BB5B89}"/>
                </a:ext>
              </a:extLst>
            </xdr:cNvPr>
            <xdr:cNvSpPr txBox="1"/>
          </xdr:nvSpPr>
          <xdr:spPr>
            <a:xfrm>
              <a:off x="5357812" y="964406"/>
              <a:ext cx="5761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𝐶𝑚𝑔=𝑐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8</xdr:col>
      <xdr:colOff>0</xdr:colOff>
      <xdr:row>1</xdr:row>
      <xdr:rowOff>0</xdr:rowOff>
    </xdr:from>
    <xdr:ext cx="124200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1200-00000F000000}"/>
                </a:ext>
              </a:extLst>
            </xdr:cNvPr>
            <xdr:cNvSpPr txBox="1"/>
          </xdr:nvSpPr>
          <xdr:spPr>
            <a:xfrm>
              <a:off x="5345906" y="190500"/>
              <a:ext cx="12420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𝑏𝑃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8932FD7-30B4-42C5-AC4C-F0AF632BA5FD}"/>
                </a:ext>
              </a:extLst>
            </xdr:cNvPr>
            <xdr:cNvSpPr txBox="1"/>
          </xdr:nvSpPr>
          <xdr:spPr>
            <a:xfrm>
              <a:off x="5345906" y="190500"/>
              <a:ext cx="12420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𝐷𝑒𝑚𝑎𝑛𝑑𝑎=𝑎−𝑏𝑃</a:t>
              </a:r>
              <a:endParaRPr lang="es-A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333375</xdr:colOff>
          <xdr:row>6</xdr:row>
          <xdr:rowOff>57150</xdr:rowOff>
        </xdr:from>
        <xdr:to>
          <xdr:col>17</xdr:col>
          <xdr:colOff>419100</xdr:colOff>
          <xdr:row>8</xdr:row>
          <xdr:rowOff>161925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2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 equilibrios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141817</xdr:colOff>
      <xdr:row>2</xdr:row>
      <xdr:rowOff>184150</xdr:rowOff>
    </xdr:from>
    <xdr:to>
      <xdr:col>5</xdr:col>
      <xdr:colOff>1354667</xdr:colOff>
      <xdr:row>5</xdr:row>
      <xdr:rowOff>95251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pSpPr/>
      </xdr:nvGrpSpPr>
      <xdr:grpSpPr>
        <a:xfrm>
          <a:off x="4131734" y="565150"/>
          <a:ext cx="1212850" cy="482601"/>
          <a:chOff x="85724" y="771525"/>
          <a:chExt cx="1733551" cy="457201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  <a:solidFill>
            <a:srgbClr val="4472C4"/>
          </a:solidFill>
          <a:ln w="12700" cap="flat" cmpd="sng" algn="ctr">
            <a:solidFill>
              <a:srgbClr val="4472C4">
                <a:shade val="15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A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 txBox="1"/>
        </xdr:nvSpPr>
        <xdr:spPr>
          <a:xfrm>
            <a:off x="85724" y="771526"/>
            <a:ext cx="1725880" cy="4572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AR" sz="12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ATRAS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57150</xdr:rowOff>
        </xdr:from>
        <xdr:to>
          <xdr:col>5</xdr:col>
          <xdr:colOff>1485900</xdr:colOff>
          <xdr:row>2</xdr:row>
          <xdr:rowOff>85725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3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 contrato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487891</xdr:colOff>
      <xdr:row>15</xdr:row>
      <xdr:rowOff>56092</xdr:rowOff>
    </xdr:from>
    <xdr:to>
      <xdr:col>7</xdr:col>
      <xdr:colOff>35983</xdr:colOff>
      <xdr:row>17</xdr:row>
      <xdr:rowOff>103717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pSpPr/>
      </xdr:nvGrpSpPr>
      <xdr:grpSpPr>
        <a:xfrm>
          <a:off x="5324474" y="2966509"/>
          <a:ext cx="1114426" cy="428625"/>
          <a:chOff x="78081" y="766485"/>
          <a:chExt cx="1748673" cy="468749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  <a:solidFill>
            <a:srgbClr val="4472C4"/>
          </a:solidFill>
          <a:ln w="12700" cap="flat" cmpd="sng" algn="ctr">
            <a:solidFill>
              <a:srgbClr val="4472C4">
                <a:shade val="15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A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 txBox="1"/>
        </xdr:nvSpPr>
        <xdr:spPr>
          <a:xfrm>
            <a:off x="78081" y="766485"/>
            <a:ext cx="1748673" cy="4687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AR" sz="12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INICIO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1066800</xdr:colOff>
          <xdr:row>15</xdr:row>
          <xdr:rowOff>95250</xdr:rowOff>
        </xdr:from>
        <xdr:to>
          <xdr:col>3</xdr:col>
          <xdr:colOff>638175</xdr:colOff>
          <xdr:row>17</xdr:row>
          <xdr:rowOff>104775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4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precio de reserva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1028700</xdr:colOff>
          <xdr:row>15</xdr:row>
          <xdr:rowOff>85725</xdr:rowOff>
        </xdr:from>
        <xdr:to>
          <xdr:col>10</xdr:col>
          <xdr:colOff>733425</xdr:colOff>
          <xdr:row>17</xdr:row>
          <xdr:rowOff>104775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4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oferta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13607</xdr:colOff>
      <xdr:row>2</xdr:row>
      <xdr:rowOff>13607</xdr:rowOff>
    </xdr:from>
    <xdr:ext cx="124200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1500-000005000000}"/>
                </a:ext>
              </a:extLst>
            </xdr:cNvPr>
            <xdr:cNvSpPr txBox="1"/>
          </xdr:nvSpPr>
          <xdr:spPr>
            <a:xfrm>
              <a:off x="527957" y="204107"/>
              <a:ext cx="12420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𝑏𝑃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17E0E5C4-957A-47E8-A5EB-EFA8D8DA5345}"/>
                </a:ext>
              </a:extLst>
            </xdr:cNvPr>
            <xdr:cNvSpPr txBox="1"/>
          </xdr:nvSpPr>
          <xdr:spPr>
            <a:xfrm>
              <a:off x="527957" y="204107"/>
              <a:ext cx="12420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𝐷𝑒𝑚𝑎𝑛𝑑𝑎=𝑎−𝑏𝑃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13607</xdr:colOff>
      <xdr:row>4</xdr:row>
      <xdr:rowOff>0</xdr:rowOff>
    </xdr:from>
    <xdr:ext cx="57618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1500-000006000000}"/>
                </a:ext>
              </a:extLst>
            </xdr:cNvPr>
            <xdr:cNvSpPr txBox="1"/>
          </xdr:nvSpPr>
          <xdr:spPr>
            <a:xfrm>
              <a:off x="527957" y="571500"/>
              <a:ext cx="5761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𝐶𝑚𝑔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4164F19D-862E-461A-9AD0-5C16CEC39234}"/>
                </a:ext>
              </a:extLst>
            </xdr:cNvPr>
            <xdr:cNvSpPr txBox="1"/>
          </xdr:nvSpPr>
          <xdr:spPr>
            <a:xfrm>
              <a:off x="527957" y="571500"/>
              <a:ext cx="5761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𝐶𝑚𝑔=𝑐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13607</xdr:colOff>
      <xdr:row>5</xdr:row>
      <xdr:rowOff>21167</xdr:rowOff>
    </xdr:from>
    <xdr:ext cx="414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1500-000007000000}"/>
                </a:ext>
              </a:extLst>
            </xdr:cNvPr>
            <xdr:cNvSpPr txBox="1"/>
          </xdr:nvSpPr>
          <xdr:spPr>
            <a:xfrm>
              <a:off x="527957" y="783167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𝑁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𝑛</m:t>
                    </m:r>
                  </m:oMath>
                </m:oMathPara>
              </a14:m>
              <a:endParaRPr lang="es-ES" sz="1100" b="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9D828FD6-F81A-49B3-9BE2-3B51062AC5F6}"/>
                </a:ext>
              </a:extLst>
            </xdr:cNvPr>
            <xdr:cNvSpPr txBox="1"/>
          </xdr:nvSpPr>
          <xdr:spPr>
            <a:xfrm>
              <a:off x="527957" y="783167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𝑁=𝑛</a:t>
              </a:r>
              <a:endParaRPr lang="es-ES" sz="1100" b="0"/>
            </a:p>
          </xdr:txBody>
        </xdr:sp>
      </mc:Fallback>
    </mc:AlternateContent>
    <xdr:clientData/>
  </xdr:oneCellAnchor>
  <xdr:oneCellAnchor>
    <xdr:from>
      <xdr:col>8</xdr:col>
      <xdr:colOff>13607</xdr:colOff>
      <xdr:row>2</xdr:row>
      <xdr:rowOff>13607</xdr:rowOff>
    </xdr:from>
    <xdr:ext cx="1699440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1500-000008000000}"/>
                </a:ext>
              </a:extLst>
            </xdr:cNvPr>
            <xdr:cNvSpPr txBox="1"/>
          </xdr:nvSpPr>
          <xdr:spPr>
            <a:xfrm>
              <a:off x="6843032" y="204107"/>
              <a:ext cx="1699440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C5155BDF-AEB9-4F5A-B20B-87FFADEA4BDA}"/>
                </a:ext>
              </a:extLst>
            </xdr:cNvPr>
            <xdr:cNvSpPr txBox="1"/>
          </xdr:nvSpPr>
          <xdr:spPr>
            <a:xfrm>
              <a:off x="6843032" y="204107"/>
              <a:ext cx="1699440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𝐷𝑒𝑚𝑎𝑛𝑑𝑎_𝑖=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es-ES" sz="1100" b="0" i="0">
                  <a:latin typeface="Cambria Math" panose="02040503050406030204" pitchFamily="18" charset="0"/>
                </a:rPr>
                <a:t>−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𝛽𝑃_𝑖</a:t>
              </a:r>
              <a:r>
                <a:rPr lang="es-ES" sz="1100" b="0" i="0">
                  <a:latin typeface="Cambria Math" panose="02040503050406030204" pitchFamily="18" charset="0"/>
                </a:rPr>
                <a:t>+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𝛾𝑃_𝑗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8</xdr:col>
      <xdr:colOff>13607</xdr:colOff>
      <xdr:row>5</xdr:row>
      <xdr:rowOff>10584</xdr:rowOff>
    </xdr:from>
    <xdr:ext cx="57618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1500-000009000000}"/>
                </a:ext>
              </a:extLst>
            </xdr:cNvPr>
            <xdr:cNvSpPr txBox="1"/>
          </xdr:nvSpPr>
          <xdr:spPr>
            <a:xfrm>
              <a:off x="6843032" y="772584"/>
              <a:ext cx="5761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𝐶𝑚𝑔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205DC306-6021-4272-9C88-30E62DF391F8}"/>
                </a:ext>
              </a:extLst>
            </xdr:cNvPr>
            <xdr:cNvSpPr txBox="1"/>
          </xdr:nvSpPr>
          <xdr:spPr>
            <a:xfrm>
              <a:off x="6843032" y="772584"/>
              <a:ext cx="5761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𝐶𝑚𝑔=𝑐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13607</xdr:colOff>
      <xdr:row>15</xdr:row>
      <xdr:rowOff>13607</xdr:rowOff>
    </xdr:from>
    <xdr:ext cx="124200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1500-00000D000000}"/>
                </a:ext>
              </a:extLst>
            </xdr:cNvPr>
            <xdr:cNvSpPr txBox="1"/>
          </xdr:nvSpPr>
          <xdr:spPr>
            <a:xfrm>
              <a:off x="532190" y="405190"/>
              <a:ext cx="12420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𝑏𝑃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102F79A-4584-432E-AC7D-33FCD343979F}"/>
                </a:ext>
              </a:extLst>
            </xdr:cNvPr>
            <xdr:cNvSpPr txBox="1"/>
          </xdr:nvSpPr>
          <xdr:spPr>
            <a:xfrm>
              <a:off x="532190" y="405190"/>
              <a:ext cx="12420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𝐷𝑒𝑚𝑎𝑛𝑑𝑎=𝑎−𝑏𝑃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13607</xdr:colOff>
      <xdr:row>17</xdr:row>
      <xdr:rowOff>0</xdr:rowOff>
    </xdr:from>
    <xdr:ext cx="57618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 txBox="1"/>
          </xdr:nvSpPr>
          <xdr:spPr>
            <a:xfrm>
              <a:off x="532190" y="783167"/>
              <a:ext cx="5761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𝐶𝑚𝑔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C1466791-5334-4B44-AF97-21DD38B0A073}"/>
                </a:ext>
              </a:extLst>
            </xdr:cNvPr>
            <xdr:cNvSpPr txBox="1"/>
          </xdr:nvSpPr>
          <xdr:spPr>
            <a:xfrm>
              <a:off x="532190" y="783167"/>
              <a:ext cx="5761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𝐶𝑚𝑔=𝑐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13607</xdr:colOff>
      <xdr:row>18</xdr:row>
      <xdr:rowOff>21167</xdr:rowOff>
    </xdr:from>
    <xdr:ext cx="414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1500-00000F000000}"/>
                </a:ext>
              </a:extLst>
            </xdr:cNvPr>
            <xdr:cNvSpPr txBox="1"/>
          </xdr:nvSpPr>
          <xdr:spPr>
            <a:xfrm>
              <a:off x="532190" y="994834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𝑁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𝑛</m:t>
                    </m:r>
                  </m:oMath>
                </m:oMathPara>
              </a14:m>
              <a:endParaRPr lang="es-ES" sz="1100" b="0"/>
            </a:p>
          </xdr:txBody>
        </xdr:sp>
      </mc:Choice>
      <mc:Fallback xmlns="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ACE950C6-7592-4C1A-84F4-4114DC65F91B}"/>
                </a:ext>
              </a:extLst>
            </xdr:cNvPr>
            <xdr:cNvSpPr txBox="1"/>
          </xdr:nvSpPr>
          <xdr:spPr>
            <a:xfrm>
              <a:off x="532190" y="994834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𝑁=𝑛</a:t>
              </a:r>
              <a:endParaRPr lang="es-ES" sz="1100" b="0"/>
            </a:p>
          </xdr:txBody>
        </xdr:sp>
      </mc:Fallback>
    </mc:AlternateContent>
    <xdr:clientData/>
  </xdr:oneCellAnchor>
  <xdr:twoCellAnchor>
    <xdr:from>
      <xdr:col>6</xdr:col>
      <xdr:colOff>250030</xdr:colOff>
      <xdr:row>2</xdr:row>
      <xdr:rowOff>178594</xdr:rowOff>
    </xdr:from>
    <xdr:to>
      <xdr:col>6</xdr:col>
      <xdr:colOff>1393031</xdr:colOff>
      <xdr:row>5</xdr:row>
      <xdr:rowOff>47624</xdr:rowOff>
    </xdr:to>
    <xdr:grpSp>
      <xdr:nvGrpSpPr>
        <xdr:cNvPr id="21" name="Grupo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5881686" y="571500"/>
          <a:ext cx="1143001" cy="452437"/>
          <a:chOff x="78081" y="766485"/>
          <a:chExt cx="1748673" cy="468749"/>
        </a:xfrm>
      </xdr:grpSpPr>
      <xdr:sp macro="" textlink="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  <a:solidFill>
            <a:srgbClr val="4472C4"/>
          </a:solidFill>
          <a:ln w="12700" cap="flat" cmpd="sng" algn="ctr">
            <a:solidFill>
              <a:srgbClr val="4472C4">
                <a:shade val="15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A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 txBox="1"/>
        </xdr:nvSpPr>
        <xdr:spPr>
          <a:xfrm>
            <a:off x="78081" y="766485"/>
            <a:ext cx="1748673" cy="4687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AR" sz="12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INICIO</a:t>
            </a:r>
          </a:p>
        </xdr:txBody>
      </xdr:sp>
    </xdr:grpSp>
    <xdr:clientData/>
  </xdr:twoCellAnchor>
  <xdr:oneCellAnchor>
    <xdr:from>
      <xdr:col>8</xdr:col>
      <xdr:colOff>13607</xdr:colOff>
      <xdr:row>21</xdr:row>
      <xdr:rowOff>13607</xdr:rowOff>
    </xdr:from>
    <xdr:ext cx="1699440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1500-000018000000}"/>
                </a:ext>
              </a:extLst>
            </xdr:cNvPr>
            <xdr:cNvSpPr txBox="1"/>
          </xdr:nvSpPr>
          <xdr:spPr>
            <a:xfrm>
              <a:off x="7669326" y="204107"/>
              <a:ext cx="1699440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  <m:sSub>
                      <m:sSub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D3AF9E89-878E-47F1-8622-672FC3B2804B}"/>
                </a:ext>
              </a:extLst>
            </xdr:cNvPr>
            <xdr:cNvSpPr txBox="1"/>
          </xdr:nvSpPr>
          <xdr:spPr>
            <a:xfrm>
              <a:off x="7669326" y="204107"/>
              <a:ext cx="1699440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𝐷𝑒𝑚𝑎𝑛𝑑𝑎_𝑖=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es-ES" sz="1100" b="0" i="0">
                  <a:latin typeface="Cambria Math" panose="02040503050406030204" pitchFamily="18" charset="0"/>
                </a:rPr>
                <a:t>−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𝛽𝑃_𝑖</a:t>
              </a:r>
              <a:r>
                <a:rPr lang="es-ES" sz="1100" b="0" i="0">
                  <a:latin typeface="Cambria Math" panose="02040503050406030204" pitchFamily="18" charset="0"/>
                </a:rPr>
                <a:t>+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𝛾𝑃_𝑗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8</xdr:col>
      <xdr:colOff>13607</xdr:colOff>
      <xdr:row>24</xdr:row>
      <xdr:rowOff>10584</xdr:rowOff>
    </xdr:from>
    <xdr:ext cx="57618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1500-000019000000}"/>
                </a:ext>
              </a:extLst>
            </xdr:cNvPr>
            <xdr:cNvSpPr txBox="1"/>
          </xdr:nvSpPr>
          <xdr:spPr>
            <a:xfrm>
              <a:off x="7669326" y="796397"/>
              <a:ext cx="5761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𝐶𝑚𝑔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9A3FDFDB-F92F-4B00-BE3C-9FF86AF8C6F8}"/>
                </a:ext>
              </a:extLst>
            </xdr:cNvPr>
            <xdr:cNvSpPr txBox="1"/>
          </xdr:nvSpPr>
          <xdr:spPr>
            <a:xfrm>
              <a:off x="7669326" y="796397"/>
              <a:ext cx="57618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𝐶𝑚𝑔=𝑐</a:t>
              </a:r>
              <a:endParaRPr lang="es-A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28575</xdr:rowOff>
        </xdr:from>
        <xdr:to>
          <xdr:col>6</xdr:col>
          <xdr:colOff>1628775</xdr:colOff>
          <xdr:row>2</xdr:row>
          <xdr:rowOff>47625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5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 tasas criticas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119063</xdr:colOff>
      <xdr:row>3</xdr:row>
      <xdr:rowOff>21697</xdr:rowOff>
    </xdr:from>
    <xdr:to>
      <xdr:col>7</xdr:col>
      <xdr:colOff>702470</xdr:colOff>
      <xdr:row>5</xdr:row>
      <xdr:rowOff>154781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pSpPr/>
      </xdr:nvGrpSpPr>
      <xdr:grpSpPr>
        <a:xfrm>
          <a:off x="5048251" y="593197"/>
          <a:ext cx="1428750" cy="514084"/>
          <a:chOff x="78081" y="766485"/>
          <a:chExt cx="1748673" cy="468749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1600-000003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  <a:solidFill>
            <a:srgbClr val="4472C4"/>
          </a:solidFill>
          <a:ln w="12700" cap="flat" cmpd="sng" algn="ctr">
            <a:solidFill>
              <a:srgbClr val="4472C4">
                <a:shade val="15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A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1600-000004000000}"/>
              </a:ext>
            </a:extLst>
          </xdr:cNvPr>
          <xdr:cNvSpPr txBox="1"/>
        </xdr:nvSpPr>
        <xdr:spPr>
          <a:xfrm>
            <a:off x="78081" y="766485"/>
            <a:ext cx="1748673" cy="4687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AR" sz="12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INICIO</a:t>
            </a:r>
          </a:p>
        </xdr:txBody>
      </xdr:sp>
    </xdr:grpSp>
    <xdr:clientData/>
  </xdr:twoCellAnchor>
  <xdr:oneCellAnchor>
    <xdr:from>
      <xdr:col>1</xdr:col>
      <xdr:colOff>10583</xdr:colOff>
      <xdr:row>1</xdr:row>
      <xdr:rowOff>10583</xdr:rowOff>
    </xdr:from>
    <xdr:ext cx="73231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1600-000005000000}"/>
                </a:ext>
              </a:extLst>
            </xdr:cNvPr>
            <xdr:cNvSpPr txBox="1"/>
          </xdr:nvSpPr>
          <xdr:spPr>
            <a:xfrm>
              <a:off x="772583" y="201083"/>
              <a:ext cx="73231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𝑏𝑄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DA766EF2-EE38-43B3-BB4F-68CA381AC3C0}"/>
                </a:ext>
              </a:extLst>
            </xdr:cNvPr>
            <xdr:cNvSpPr txBox="1"/>
          </xdr:nvSpPr>
          <xdr:spPr>
            <a:xfrm>
              <a:off x="772583" y="201083"/>
              <a:ext cx="73231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𝑃=𝑎−𝑏𝑄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0</xdr:colOff>
      <xdr:row>3</xdr:row>
      <xdr:rowOff>0</xdr:rowOff>
    </xdr:from>
    <xdr:ext cx="80624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1600-000006000000}"/>
                </a:ext>
              </a:extLst>
            </xdr:cNvPr>
            <xdr:cNvSpPr txBox="1"/>
          </xdr:nvSpPr>
          <xdr:spPr>
            <a:xfrm>
              <a:off x="762000" y="571500"/>
              <a:ext cx="80624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𝐹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𝑐𝑄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B2D9EC0D-8601-4256-86DC-9B95BA1F762E}"/>
                </a:ext>
              </a:extLst>
            </xdr:cNvPr>
            <xdr:cNvSpPr txBox="1"/>
          </xdr:nvSpPr>
          <xdr:spPr>
            <a:xfrm>
              <a:off x="762000" y="571500"/>
              <a:ext cx="80624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C𝑇=𝐹+𝑐𝑄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153458</xdr:colOff>
      <xdr:row>5</xdr:row>
      <xdr:rowOff>58208</xdr:rowOff>
    </xdr:from>
    <xdr:ext cx="65" cy="172227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 txBox="1"/>
      </xdr:nvSpPr>
      <xdr:spPr>
        <a:xfrm>
          <a:off x="22994408" y="139170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AR" sz="1100"/>
        </a:p>
      </xdr:txBody>
    </xdr:sp>
    <xdr:clientData/>
  </xdr:oneCellAnchor>
  <xdr:oneCellAnchor>
    <xdr:from>
      <xdr:col>1</xdr:col>
      <xdr:colOff>11906</xdr:colOff>
      <xdr:row>4</xdr:row>
      <xdr:rowOff>107156</xdr:rowOff>
    </xdr:from>
    <xdr:ext cx="65" cy="172227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 txBox="1"/>
      </xdr:nvSpPr>
      <xdr:spPr>
        <a:xfrm>
          <a:off x="22852856" y="12501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A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0</xdr:rowOff>
        </xdr:from>
        <xdr:to>
          <xdr:col>7</xdr:col>
          <xdr:colOff>790575</xdr:colOff>
          <xdr:row>2</xdr:row>
          <xdr:rowOff>133350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6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 equilibrios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10583</xdr:colOff>
      <xdr:row>1</xdr:row>
      <xdr:rowOff>10583</xdr:rowOff>
    </xdr:from>
    <xdr:ext cx="73231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1600-000009000000}"/>
                </a:ext>
              </a:extLst>
            </xdr:cNvPr>
            <xdr:cNvSpPr txBox="1"/>
          </xdr:nvSpPr>
          <xdr:spPr>
            <a:xfrm>
              <a:off x="522552" y="201083"/>
              <a:ext cx="73231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𝑏𝑄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BCFACE08-F9D0-44CC-B9F6-81EA69A3748F}"/>
                </a:ext>
              </a:extLst>
            </xdr:cNvPr>
            <xdr:cNvSpPr txBox="1"/>
          </xdr:nvSpPr>
          <xdr:spPr>
            <a:xfrm>
              <a:off x="522552" y="201083"/>
              <a:ext cx="73231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𝑃=𝑎−𝑏𝑄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3</xdr:row>
      <xdr:rowOff>0</xdr:rowOff>
    </xdr:from>
    <xdr:ext cx="5713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1600-00000A000000}"/>
                </a:ext>
              </a:extLst>
            </xdr:cNvPr>
            <xdr:cNvSpPr txBox="1"/>
          </xdr:nvSpPr>
          <xdr:spPr>
            <a:xfrm>
              <a:off x="6893719" y="571500"/>
              <a:ext cx="5713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𝑚𝑔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DCBCB603-5E07-4E82-937F-67E4154DB771}"/>
                </a:ext>
              </a:extLst>
            </xdr:cNvPr>
            <xdr:cNvSpPr txBox="1"/>
          </xdr:nvSpPr>
          <xdr:spPr>
            <a:xfrm>
              <a:off x="6893719" y="571500"/>
              <a:ext cx="5713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C𝑚𝑔=𝑐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9</xdr:col>
      <xdr:colOff>153458</xdr:colOff>
      <xdr:row>5</xdr:row>
      <xdr:rowOff>58208</xdr:rowOff>
    </xdr:from>
    <xdr:ext cx="65" cy="172227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 txBox="1"/>
      </xdr:nvSpPr>
      <xdr:spPr>
        <a:xfrm>
          <a:off x="665427" y="101070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AR" sz="1100"/>
        </a:p>
      </xdr:txBody>
    </xdr:sp>
    <xdr:clientData/>
  </xdr:oneCellAnchor>
  <xdr:oneCellAnchor>
    <xdr:from>
      <xdr:col>9</xdr:col>
      <xdr:colOff>11906</xdr:colOff>
      <xdr:row>4</xdr:row>
      <xdr:rowOff>107156</xdr:rowOff>
    </xdr:from>
    <xdr:ext cx="65" cy="172227"/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SpPr txBox="1"/>
      </xdr:nvSpPr>
      <xdr:spPr>
        <a:xfrm>
          <a:off x="523875" y="8691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AR" sz="1100"/>
        </a:p>
      </xdr:txBody>
    </xdr:sp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275167</xdr:colOff>
      <xdr:row>1</xdr:row>
      <xdr:rowOff>31750</xdr:rowOff>
    </xdr:from>
    <xdr:to>
      <xdr:col>6</xdr:col>
      <xdr:colOff>31750</xdr:colOff>
      <xdr:row>3</xdr:row>
      <xdr:rowOff>137583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pSpPr/>
      </xdr:nvGrpSpPr>
      <xdr:grpSpPr>
        <a:xfrm>
          <a:off x="4603750" y="222250"/>
          <a:ext cx="1280583" cy="486833"/>
          <a:chOff x="78081" y="766485"/>
          <a:chExt cx="1748673" cy="468749"/>
        </a:xfrm>
      </xdr:grpSpPr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1700-000003000000}"/>
              </a:ext>
            </a:extLst>
          </xdr:cNvPr>
          <xdr:cNvSpPr/>
        </xdr:nvSpPr>
        <xdr:spPr>
          <a:xfrm>
            <a:off x="85725" y="771525"/>
            <a:ext cx="1733550" cy="457200"/>
          </a:xfrm>
          <a:prstGeom prst="roundRect">
            <a:avLst/>
          </a:prstGeom>
          <a:solidFill>
            <a:srgbClr val="4472C4"/>
          </a:solidFill>
          <a:ln w="12700" cap="flat" cmpd="sng" algn="ctr">
            <a:solidFill>
              <a:srgbClr val="4472C4">
                <a:shade val="15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s-A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1700-000004000000}"/>
              </a:ext>
            </a:extLst>
          </xdr:cNvPr>
          <xdr:cNvSpPr txBox="1"/>
        </xdr:nvSpPr>
        <xdr:spPr>
          <a:xfrm>
            <a:off x="78081" y="766485"/>
            <a:ext cx="1748673" cy="4687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AR" sz="12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INICIO</a:t>
            </a:r>
          </a:p>
        </xdr:txBody>
      </xdr:sp>
    </xdr:grpSp>
    <xdr:clientData/>
  </xdr:twoCellAnchor>
  <xdr:oneCellAnchor>
    <xdr:from>
      <xdr:col>1</xdr:col>
      <xdr:colOff>474133</xdr:colOff>
      <xdr:row>1</xdr:row>
      <xdr:rowOff>61383</xdr:rowOff>
    </xdr:from>
    <xdr:ext cx="2065822" cy="2471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1700-000005000000}"/>
                </a:ext>
              </a:extLst>
            </xdr:cNvPr>
            <xdr:cNvSpPr txBox="1"/>
          </xdr:nvSpPr>
          <xdr:spPr>
            <a:xfrm>
              <a:off x="992716" y="251883"/>
              <a:ext cx="2065822" cy="2471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A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=(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𝑖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f>
                      <m:fPr>
                        <m:type m:val="skw"/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e>
                          <m:sup>
                            <m:r>
                              <a:rPr lang="es-E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𝛽</m:t>
                    </m:r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𝑒</m:t>
                    </m:r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f>
                      <m:fPr>
                        <m:type m:val="skw"/>
                        <m:ctrlP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a:rPr lang="es-E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a:rPr lang="es-E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2057F66D-874A-2DD8-D0B6-5461BC554D7E}"/>
                </a:ext>
              </a:extLst>
            </xdr:cNvPr>
            <xdr:cNvSpPr txBox="1"/>
          </xdr:nvSpPr>
          <xdr:spPr>
            <a:xfrm>
              <a:off x="992716" y="251883"/>
              <a:ext cx="2065822" cy="2471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A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=(𝛼∙𝑖−𝑖^2⁄2)+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𝛽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^2⁄2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AR" sz="1100"/>
            </a:p>
          </xdr:txBody>
        </xdr:sp>
      </mc:Fallback>
    </mc:AlternateContent>
    <xdr:clientData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10583</xdr:colOff>
      <xdr:row>2</xdr:row>
      <xdr:rowOff>10583</xdr:rowOff>
    </xdr:from>
    <xdr:ext cx="12448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1800-000003000000}"/>
                </a:ext>
              </a:extLst>
            </xdr:cNvPr>
            <xdr:cNvSpPr txBox="1"/>
          </xdr:nvSpPr>
          <xdr:spPr>
            <a:xfrm>
              <a:off x="524933" y="3915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𝐷𝑒𝑚𝑎𝑛𝑑𝑎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𝜀</m:t>
                        </m:r>
                      </m:sup>
                    </m:sSup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32339E22-7410-43E9-A9A5-5207E3DFC1D4}"/>
                </a:ext>
              </a:extLst>
            </xdr:cNvPr>
            <xdr:cNvSpPr txBox="1"/>
          </xdr:nvSpPr>
          <xdr:spPr>
            <a:xfrm>
              <a:off x="524933" y="391583"/>
              <a:ext cx="12448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𝐷𝑒𝑚𝑎𝑛𝑑𝑎=𝐴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∙𝑃^(−𝜀)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0</xdr:colOff>
      <xdr:row>4</xdr:row>
      <xdr:rowOff>0</xdr:rowOff>
    </xdr:from>
    <xdr:ext cx="135357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1800-000004000000}"/>
                </a:ext>
              </a:extLst>
            </xdr:cNvPr>
            <xdr:cNvSpPr txBox="1"/>
          </xdr:nvSpPr>
          <xdr:spPr>
            <a:xfrm>
              <a:off x="514350" y="7620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ES" sz="1100" b="0" i="0">
                        <a:latin typeface="Cambria Math" panose="02040503050406030204" pitchFamily="18" charset="0"/>
                      </a:rPr>
                      <m:t>Cmg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𝑏𝑄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𝑐</m:t>
                    </m:r>
                  </m:oMath>
                </m:oMathPara>
              </a14:m>
              <a:endParaRPr lang="es-AR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8D600390-11EC-4213-822E-352843655681}"/>
                </a:ext>
              </a:extLst>
            </xdr:cNvPr>
            <xdr:cNvSpPr txBox="1"/>
          </xdr:nvSpPr>
          <xdr:spPr>
            <a:xfrm>
              <a:off x="514350" y="762000"/>
              <a:ext cx="135357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Cmg=𝑎𝑄^2−𝑏𝑄+𝑐</a:t>
              </a:r>
              <a:endParaRPr lang="es-AR" sz="1100"/>
            </a:p>
          </xdr:txBody>
        </xdr:sp>
      </mc:Fallback>
    </mc:AlternateContent>
    <xdr:clientData/>
  </xdr:oneCellAnchor>
  <xdr:oneCellAnchor>
    <xdr:from>
      <xdr:col>1</xdr:col>
      <xdr:colOff>10583</xdr:colOff>
      <xdr:row>7</xdr:row>
      <xdr:rowOff>0</xdr:rowOff>
    </xdr:from>
    <xdr:ext cx="414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1800-000005000000}"/>
                </a:ext>
              </a:extLst>
            </xdr:cNvPr>
            <xdr:cNvSpPr txBox="1"/>
          </xdr:nvSpPr>
          <xdr:spPr>
            <a:xfrm>
              <a:off x="524933" y="1333500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100" b="0" i="1">
                        <a:latin typeface="Cambria Math" panose="02040503050406030204" pitchFamily="18" charset="0"/>
                      </a:rPr>
                      <m:t>𝑁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100" b="0" i="1">
                        <a:latin typeface="Cambria Math" panose="02040503050406030204" pitchFamily="18" charset="0"/>
                      </a:rPr>
                      <m:t>𝑛</m:t>
                    </m:r>
                  </m:oMath>
                </m:oMathPara>
              </a14:m>
              <a:endParaRPr lang="es-ES" sz="1100" b="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5DC31967-2B24-4866-8885-5FA86D2EFE26}"/>
                </a:ext>
              </a:extLst>
            </xdr:cNvPr>
            <xdr:cNvSpPr txBox="1"/>
          </xdr:nvSpPr>
          <xdr:spPr>
            <a:xfrm>
              <a:off x="524933" y="1333500"/>
              <a:ext cx="414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latin typeface="Cambria Math" panose="02040503050406030204" pitchFamily="18" charset="0"/>
                </a:rPr>
                <a:t>𝑁=𝑛</a:t>
              </a:r>
              <a:endParaRPr lang="es-ES" sz="1100" b="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D46FB84-C433-467F-8864-180B2F842922}">
  <we:reference id="wa104100404" version="3.0.0.1" store="es-ES" storeType="OMEX"/>
  <we:alternateReferences>
    <we:reference id="wa104100404" version="3.0.0.1" store="WA104100404" storeType="OMEX"/>
  </we:alternateReferences>
  <we:properties>
    <we:property name="UniqueID" value="&quot;2025116176499762440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2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9AAD3-8438-46C4-822B-7A8B338CFDA5}">
  <sheetPr codeName="Hoja8">
    <tabColor rgb="FFFF0000"/>
  </sheetPr>
  <dimension ref="B1:BI19"/>
  <sheetViews>
    <sheetView showGridLines="0" showRowColHeaders="0" tabSelected="1" zoomScaleNormal="100" workbookViewId="0">
      <selection activeCell="B1" sqref="B1:P3"/>
    </sheetView>
  </sheetViews>
  <sheetFormatPr baseColWidth="10" defaultRowHeight="15" x14ac:dyDescent="0.25"/>
  <cols>
    <col min="2" max="61" width="11.42578125" style="5"/>
  </cols>
  <sheetData>
    <row r="1" spans="2:16" ht="15" customHeight="1" x14ac:dyDescent="0.25">
      <c r="B1" s="223" t="s">
        <v>344</v>
      </c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5"/>
    </row>
    <row r="2" spans="2:16" ht="15" customHeight="1" x14ac:dyDescent="0.25">
      <c r="B2" s="226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8"/>
    </row>
    <row r="3" spans="2:16" ht="15.75" customHeight="1" thickBot="1" x14ac:dyDescent="0.3">
      <c r="B3" s="229"/>
      <c r="C3" s="230"/>
      <c r="D3" s="230"/>
      <c r="E3" s="230"/>
      <c r="F3" s="230"/>
      <c r="G3" s="230"/>
      <c r="H3" s="230"/>
      <c r="I3" s="230"/>
      <c r="J3" s="230"/>
      <c r="K3" s="230"/>
      <c r="L3" s="230"/>
      <c r="M3" s="230"/>
      <c r="N3" s="230"/>
      <c r="O3" s="230"/>
      <c r="P3" s="231"/>
    </row>
    <row r="4" spans="2:16" ht="14.1" customHeight="1" x14ac:dyDescent="0.25">
      <c r="I4" s="117" t="s">
        <v>112</v>
      </c>
    </row>
    <row r="5" spans="2:16" x14ac:dyDescent="0.25">
      <c r="B5"/>
    </row>
    <row r="6" spans="2:16" x14ac:dyDescent="0.25">
      <c r="B6"/>
    </row>
    <row r="7" spans="2:16" x14ac:dyDescent="0.25">
      <c r="B7"/>
    </row>
    <row r="8" spans="2:16" x14ac:dyDescent="0.25">
      <c r="B8"/>
    </row>
    <row r="9" spans="2:16" x14ac:dyDescent="0.25">
      <c r="B9"/>
    </row>
    <row r="10" spans="2:16" x14ac:dyDescent="0.25">
      <c r="B10"/>
    </row>
    <row r="11" spans="2:16" x14ac:dyDescent="0.25">
      <c r="B11"/>
    </row>
    <row r="12" spans="2:16" x14ac:dyDescent="0.25">
      <c r="B12"/>
    </row>
    <row r="13" spans="2:16" x14ac:dyDescent="0.25">
      <c r="B13"/>
    </row>
    <row r="14" spans="2:16" x14ac:dyDescent="0.25">
      <c r="B14"/>
    </row>
    <row r="15" spans="2:16" x14ac:dyDescent="0.25">
      <c r="B15"/>
    </row>
    <row r="16" spans="2:16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</sheetData>
  <mergeCells count="1">
    <mergeCell ref="B1:P3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EF437-4B21-4FC1-8FC0-1FFCFF7583EC}">
  <sheetPr codeName="Hoja3">
    <tabColor rgb="FF0070C0"/>
  </sheetPr>
  <dimension ref="A1:BN254"/>
  <sheetViews>
    <sheetView showGridLines="0" showRowColHeaders="0" zoomScale="80" zoomScaleNormal="80" workbookViewId="0">
      <selection activeCell="A2" sqref="A2"/>
    </sheetView>
  </sheetViews>
  <sheetFormatPr baseColWidth="10" defaultRowHeight="15" x14ac:dyDescent="0.25"/>
  <cols>
    <col min="1" max="1" width="7.7109375" customWidth="1"/>
    <col min="2" max="5" width="11.7109375" customWidth="1"/>
    <col min="6" max="7" width="7.7109375" customWidth="1"/>
    <col min="8" max="11" width="11.7109375" customWidth="1"/>
    <col min="12" max="13" width="7.7109375" customWidth="1"/>
    <col min="14" max="17" width="11.7109375" customWidth="1"/>
    <col min="18" max="18" width="7.7109375" customWidth="1"/>
    <col min="19" max="20" width="11.7109375" customWidth="1"/>
    <col min="21" max="21" width="7.7109375" customWidth="1"/>
    <col min="22" max="25" width="11.7109375" customWidth="1"/>
    <col min="26" max="27" width="7.7109375" customWidth="1"/>
    <col min="28" max="31" width="11.7109375" customWidth="1"/>
    <col min="32" max="33" width="7.7109375" customWidth="1"/>
    <col min="34" max="37" width="11.7109375" customWidth="1"/>
    <col min="38" max="38" width="7.7109375" customWidth="1"/>
  </cols>
  <sheetData>
    <row r="1" spans="1:64" ht="30" customHeight="1" x14ac:dyDescent="0.25">
      <c r="A1" s="232" t="s">
        <v>10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32"/>
      <c r="T1" s="5"/>
      <c r="U1" s="232" t="s">
        <v>27</v>
      </c>
      <c r="V1" s="232"/>
      <c r="W1" s="232"/>
      <c r="X1" s="232"/>
      <c r="Y1" s="232"/>
      <c r="Z1" s="232"/>
      <c r="AA1" s="232"/>
      <c r="AB1" s="232"/>
      <c r="AC1" s="232"/>
      <c r="AD1" s="232"/>
      <c r="AE1" s="232"/>
      <c r="AF1" s="232"/>
      <c r="AG1" s="232"/>
      <c r="AH1" s="232"/>
      <c r="AI1" s="232"/>
      <c r="AJ1" s="232"/>
      <c r="AK1" s="232"/>
      <c r="AL1" s="232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</row>
    <row r="2" spans="1:64" x14ac:dyDescent="0.25">
      <c r="A2" s="1"/>
      <c r="B2" s="235" t="s">
        <v>3</v>
      </c>
      <c r="C2" s="235"/>
      <c r="D2" s="235"/>
      <c r="E2" s="235"/>
      <c r="F2" s="1"/>
      <c r="G2" s="44"/>
      <c r="H2" s="233" t="s">
        <v>49</v>
      </c>
      <c r="I2" s="233"/>
      <c r="J2" s="233"/>
      <c r="K2" s="233"/>
      <c r="L2" s="44"/>
      <c r="M2" s="2"/>
      <c r="N2" s="236" t="s">
        <v>5</v>
      </c>
      <c r="O2" s="236"/>
      <c r="P2" s="236"/>
      <c r="Q2" s="236"/>
      <c r="R2" s="2"/>
      <c r="S2" s="32"/>
      <c r="T2" s="5"/>
      <c r="U2" s="1"/>
      <c r="V2" s="235" t="s">
        <v>3</v>
      </c>
      <c r="W2" s="235"/>
      <c r="X2" s="235"/>
      <c r="Y2" s="235"/>
      <c r="Z2" s="1"/>
      <c r="AA2" s="44"/>
      <c r="AB2" s="233" t="s">
        <v>49</v>
      </c>
      <c r="AC2" s="233"/>
      <c r="AD2" s="233"/>
      <c r="AE2" s="233"/>
      <c r="AF2" s="44"/>
      <c r="AG2" s="2"/>
      <c r="AH2" s="236" t="s">
        <v>5</v>
      </c>
      <c r="AI2" s="236"/>
      <c r="AJ2" s="236"/>
      <c r="AK2" s="236"/>
      <c r="AL2" s="2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</row>
    <row r="3" spans="1:64" x14ac:dyDescent="0.25">
      <c r="A3" s="1"/>
      <c r="B3" s="7"/>
      <c r="C3" s="8"/>
      <c r="D3" s="14" t="s">
        <v>11</v>
      </c>
      <c r="E3" s="15">
        <v>10</v>
      </c>
      <c r="F3" s="1"/>
      <c r="G3" s="44"/>
      <c r="H3" s="7"/>
      <c r="I3" s="8"/>
      <c r="J3" s="14" t="s">
        <v>11</v>
      </c>
      <c r="K3" s="15">
        <v>10</v>
      </c>
      <c r="L3" s="44"/>
      <c r="M3" s="2"/>
      <c r="N3" s="7"/>
      <c r="O3" s="8"/>
      <c r="P3" s="14" t="s">
        <v>11</v>
      </c>
      <c r="Q3" s="15">
        <v>10</v>
      </c>
      <c r="R3" s="2"/>
      <c r="S3" s="32"/>
      <c r="T3" s="5"/>
      <c r="U3" s="1"/>
      <c r="V3" s="7"/>
      <c r="W3" s="8"/>
      <c r="X3" s="14" t="s">
        <v>11</v>
      </c>
      <c r="Y3" s="15">
        <v>10</v>
      </c>
      <c r="Z3" s="1"/>
      <c r="AA3" s="44"/>
      <c r="AB3" s="7"/>
      <c r="AC3" s="8"/>
      <c r="AD3" s="14" t="s">
        <v>11</v>
      </c>
      <c r="AE3" s="15">
        <v>10</v>
      </c>
      <c r="AF3" s="44"/>
      <c r="AG3" s="2"/>
      <c r="AH3" s="7"/>
      <c r="AI3" s="8"/>
      <c r="AJ3" s="14" t="s">
        <v>11</v>
      </c>
      <c r="AK3" s="15">
        <v>10</v>
      </c>
      <c r="AL3" s="2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</row>
    <row r="4" spans="1:64" x14ac:dyDescent="0.25">
      <c r="A4" s="1"/>
      <c r="B4" s="8"/>
      <c r="C4" s="8"/>
      <c r="D4" s="9" t="s">
        <v>12</v>
      </c>
      <c r="E4" s="10">
        <v>2</v>
      </c>
      <c r="F4" s="1"/>
      <c r="G4" s="44"/>
      <c r="H4" s="8"/>
      <c r="I4" s="8"/>
      <c r="J4" s="21" t="s">
        <v>12</v>
      </c>
      <c r="K4" s="10">
        <v>2</v>
      </c>
      <c r="L4" s="44"/>
      <c r="M4" s="2"/>
      <c r="N4" s="8"/>
      <c r="O4" s="8"/>
      <c r="P4" s="9" t="s">
        <v>12</v>
      </c>
      <c r="Q4" s="10">
        <v>2</v>
      </c>
      <c r="R4" s="2"/>
      <c r="S4" s="32"/>
      <c r="T4" s="5"/>
      <c r="U4" s="1"/>
      <c r="V4" s="8"/>
      <c r="W4" s="8"/>
      <c r="X4" s="9" t="s">
        <v>12</v>
      </c>
      <c r="Y4" s="10">
        <v>2</v>
      </c>
      <c r="Z4" s="1"/>
      <c r="AA4" s="44"/>
      <c r="AB4" s="8"/>
      <c r="AC4" s="8"/>
      <c r="AD4" s="21" t="s">
        <v>12</v>
      </c>
      <c r="AE4" s="10">
        <v>2</v>
      </c>
      <c r="AF4" s="44"/>
      <c r="AG4" s="2"/>
      <c r="AH4" s="8"/>
      <c r="AI4" s="8"/>
      <c r="AJ4" s="9" t="s">
        <v>12</v>
      </c>
      <c r="AK4" s="10">
        <v>2</v>
      </c>
      <c r="AL4" s="2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</row>
    <row r="5" spans="1:64" x14ac:dyDescent="0.25">
      <c r="A5" s="1"/>
      <c r="B5" s="8"/>
      <c r="C5" s="8"/>
      <c r="D5" s="9" t="s">
        <v>13</v>
      </c>
      <c r="E5" s="10">
        <v>0</v>
      </c>
      <c r="F5" s="1"/>
      <c r="G5" s="44"/>
      <c r="H5" s="7"/>
      <c r="I5" s="8"/>
      <c r="J5" s="9" t="s">
        <v>13</v>
      </c>
      <c r="K5" s="10">
        <v>0</v>
      </c>
      <c r="L5" s="44"/>
      <c r="M5" s="2"/>
      <c r="N5" s="7"/>
      <c r="O5" s="8"/>
      <c r="P5" s="9" t="s">
        <v>13</v>
      </c>
      <c r="Q5" s="10">
        <v>0</v>
      </c>
      <c r="R5" s="2"/>
      <c r="S5" s="32"/>
      <c r="T5" s="5"/>
      <c r="U5" s="1"/>
      <c r="V5" s="8"/>
      <c r="W5" s="8"/>
      <c r="X5" s="9" t="s">
        <v>13</v>
      </c>
      <c r="Y5" s="10">
        <v>0</v>
      </c>
      <c r="Z5" s="1"/>
      <c r="AA5" s="44"/>
      <c r="AB5" s="7"/>
      <c r="AC5" s="8"/>
      <c r="AD5" s="9" t="s">
        <v>13</v>
      </c>
      <c r="AE5" s="10">
        <v>0</v>
      </c>
      <c r="AF5" s="44"/>
      <c r="AG5" s="2"/>
      <c r="AH5" s="7"/>
      <c r="AI5" s="8"/>
      <c r="AJ5" s="9" t="s">
        <v>13</v>
      </c>
      <c r="AK5" s="10">
        <v>0</v>
      </c>
      <c r="AL5" s="2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</row>
    <row r="6" spans="1:64" x14ac:dyDescent="0.25">
      <c r="A6" s="1"/>
      <c r="B6" s="5"/>
      <c r="C6" s="5"/>
      <c r="D6" s="12" t="s">
        <v>14</v>
      </c>
      <c r="E6" s="13">
        <v>3</v>
      </c>
      <c r="F6" s="1"/>
      <c r="G6" s="44"/>
      <c r="H6" s="5"/>
      <c r="I6" s="5"/>
      <c r="J6" s="9" t="s">
        <v>14</v>
      </c>
      <c r="K6" s="10">
        <v>3</v>
      </c>
      <c r="L6" s="44"/>
      <c r="M6" s="2"/>
      <c r="N6" s="5"/>
      <c r="O6" s="5"/>
      <c r="P6" s="12" t="s">
        <v>14</v>
      </c>
      <c r="Q6" s="13">
        <v>3</v>
      </c>
      <c r="R6" s="2"/>
      <c r="S6" s="32"/>
      <c r="T6" s="5"/>
      <c r="U6" s="1"/>
      <c r="V6" s="5"/>
      <c r="W6" s="5"/>
      <c r="X6" s="12" t="s">
        <v>14</v>
      </c>
      <c r="Y6" s="13">
        <v>3</v>
      </c>
      <c r="Z6" s="1"/>
      <c r="AA6" s="44"/>
      <c r="AB6" s="5"/>
      <c r="AC6" s="5"/>
      <c r="AD6" s="9" t="s">
        <v>14</v>
      </c>
      <c r="AE6" s="10">
        <v>3</v>
      </c>
      <c r="AF6" s="44"/>
      <c r="AG6" s="2"/>
      <c r="AH6" s="5"/>
      <c r="AI6" s="5"/>
      <c r="AJ6" s="12" t="s">
        <v>14</v>
      </c>
      <c r="AK6" s="13">
        <v>3</v>
      </c>
      <c r="AL6" s="2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</row>
    <row r="7" spans="1:64" x14ac:dyDescent="0.25">
      <c r="A7" s="1"/>
      <c r="B7" s="5"/>
      <c r="C7" s="5"/>
      <c r="D7" s="11"/>
      <c r="E7" s="7"/>
      <c r="F7" s="1"/>
      <c r="G7" s="44"/>
      <c r="H7" s="5"/>
      <c r="I7" s="5"/>
      <c r="J7" s="9" t="s">
        <v>46</v>
      </c>
      <c r="K7" s="10">
        <v>2</v>
      </c>
      <c r="L7" s="44"/>
      <c r="M7" s="2"/>
      <c r="N7" s="5"/>
      <c r="O7" s="5"/>
      <c r="P7" s="5"/>
      <c r="Q7" s="5"/>
      <c r="R7" s="2"/>
      <c r="S7" s="32"/>
      <c r="T7" s="5"/>
      <c r="U7" s="1"/>
      <c r="V7" s="5"/>
      <c r="W7" s="5"/>
      <c r="X7" s="11"/>
      <c r="Y7" s="7"/>
      <c r="Z7" s="1"/>
      <c r="AA7" s="44"/>
      <c r="AB7" s="5"/>
      <c r="AC7" s="5"/>
      <c r="AD7" s="9" t="s">
        <v>46</v>
      </c>
      <c r="AE7" s="10">
        <v>2</v>
      </c>
      <c r="AF7" s="44"/>
      <c r="AG7" s="2"/>
      <c r="AH7" s="5"/>
      <c r="AI7" s="5"/>
      <c r="AJ7" s="5"/>
      <c r="AK7" s="5"/>
      <c r="AL7" s="2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</row>
    <row r="8" spans="1:64" ht="15.75" thickBot="1" x14ac:dyDescent="0.3">
      <c r="A8" s="1"/>
      <c r="B8" s="234" t="s">
        <v>6</v>
      </c>
      <c r="C8" s="234"/>
      <c r="D8" s="234"/>
      <c r="E8" s="234"/>
      <c r="F8" s="1"/>
      <c r="G8" s="44"/>
      <c r="H8" s="5"/>
      <c r="I8" s="5"/>
      <c r="J8" s="11"/>
      <c r="K8" s="7"/>
      <c r="L8" s="44"/>
      <c r="M8" s="2"/>
      <c r="N8" s="234" t="s">
        <v>6</v>
      </c>
      <c r="O8" s="234"/>
      <c r="P8" s="234"/>
      <c r="Q8" s="234"/>
      <c r="R8" s="2"/>
      <c r="S8" s="5"/>
      <c r="T8" s="5"/>
      <c r="U8" s="1"/>
      <c r="V8" s="234" t="s">
        <v>6</v>
      </c>
      <c r="W8" s="234"/>
      <c r="X8" s="234"/>
      <c r="Y8" s="234"/>
      <c r="Z8" s="1"/>
      <c r="AA8" s="44"/>
      <c r="AB8" s="5"/>
      <c r="AC8" s="5"/>
      <c r="AD8" s="11"/>
      <c r="AE8" s="7"/>
      <c r="AF8" s="44"/>
      <c r="AG8" s="2"/>
      <c r="AH8" s="234" t="s">
        <v>6</v>
      </c>
      <c r="AI8" s="234"/>
      <c r="AJ8" s="234"/>
      <c r="AK8" s="234"/>
      <c r="AL8" s="2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</row>
    <row r="9" spans="1:64" ht="16.5" thickTop="1" thickBot="1" x14ac:dyDescent="0.3">
      <c r="A9" s="1"/>
      <c r="B9" s="3" t="s">
        <v>1</v>
      </c>
      <c r="C9" s="4">
        <f>E3-E4*E10</f>
        <v>6</v>
      </c>
      <c r="D9" s="5"/>
      <c r="E9" s="5"/>
      <c r="F9" s="1"/>
      <c r="G9" s="44"/>
      <c r="H9" s="234" t="s">
        <v>6</v>
      </c>
      <c r="I9" s="234"/>
      <c r="J9" s="234"/>
      <c r="K9" s="234"/>
      <c r="L9" s="44"/>
      <c r="M9" s="2"/>
      <c r="N9" s="3" t="s">
        <v>1</v>
      </c>
      <c r="O9" s="6">
        <f>Q3-Q4*Q10</f>
        <v>3.7500000041666661</v>
      </c>
      <c r="P9" s="5"/>
      <c r="Q9" s="5"/>
      <c r="R9" s="2"/>
      <c r="S9" s="5"/>
      <c r="T9" s="5"/>
      <c r="U9" s="1"/>
      <c r="V9" s="3" t="s">
        <v>1</v>
      </c>
      <c r="W9" s="4">
        <f>Y3-Y4*Y10</f>
        <v>6</v>
      </c>
      <c r="X9" s="5"/>
      <c r="Y9" s="5"/>
      <c r="Z9" s="1"/>
      <c r="AA9" s="44"/>
      <c r="AB9" s="234" t="s">
        <v>6</v>
      </c>
      <c r="AC9" s="234"/>
      <c r="AD9" s="234"/>
      <c r="AE9" s="234"/>
      <c r="AF9" s="44"/>
      <c r="AG9" s="2"/>
      <c r="AH9" s="3" t="s">
        <v>1</v>
      </c>
      <c r="AI9" s="6">
        <f>AK3-AK4*AK10</f>
        <v>3.7500000041666661</v>
      </c>
      <c r="AJ9" s="5"/>
      <c r="AK9" s="5"/>
      <c r="AL9" s="2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</row>
    <row r="10" spans="1:64" ht="15.75" thickTop="1" x14ac:dyDescent="0.25">
      <c r="A10" s="1"/>
      <c r="B10" s="3"/>
      <c r="D10" s="3" t="s">
        <v>0</v>
      </c>
      <c r="E10" s="4">
        <v>2</v>
      </c>
      <c r="F10" s="1"/>
      <c r="G10" s="44"/>
      <c r="H10" s="3" t="s">
        <v>1</v>
      </c>
      <c r="I10" s="6">
        <f>K10*K7</f>
        <v>5.4545454590909088</v>
      </c>
      <c r="J10" s="3" t="s">
        <v>47</v>
      </c>
      <c r="K10" s="6">
        <v>2.7272727295454544</v>
      </c>
      <c r="L10" s="44"/>
      <c r="M10" s="2"/>
      <c r="N10" s="3" t="s">
        <v>22</v>
      </c>
      <c r="O10" s="6">
        <f>2*Q10-(Q3/Q4)</f>
        <v>1.2499999958333339</v>
      </c>
      <c r="P10" s="3" t="s">
        <v>0</v>
      </c>
      <c r="Q10" s="6">
        <v>3.1249999979166669</v>
      </c>
      <c r="R10" s="2"/>
      <c r="S10" s="5"/>
      <c r="T10" s="5"/>
      <c r="U10" s="1"/>
      <c r="V10" s="3"/>
      <c r="X10" s="3" t="s">
        <v>0</v>
      </c>
      <c r="Y10" s="4">
        <v>2</v>
      </c>
      <c r="Z10" s="1"/>
      <c r="AA10" s="44"/>
      <c r="AB10" s="3" t="s">
        <v>1</v>
      </c>
      <c r="AC10" s="6">
        <f>AE10*AE7</f>
        <v>5.4545454590909088</v>
      </c>
      <c r="AD10" s="3" t="s">
        <v>47</v>
      </c>
      <c r="AE10" s="6">
        <v>2.7272727295454544</v>
      </c>
      <c r="AF10" s="44"/>
      <c r="AG10" s="2"/>
      <c r="AH10" s="3" t="s">
        <v>22</v>
      </c>
      <c r="AI10" s="6">
        <f>2*AK10-(AK3/AK4)</f>
        <v>1.2499999958333339</v>
      </c>
      <c r="AJ10" s="3" t="s">
        <v>0</v>
      </c>
      <c r="AK10" s="6">
        <v>3.1249999979166669</v>
      </c>
      <c r="AL10" s="2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</row>
    <row r="11" spans="1:64" x14ac:dyDescent="0.25">
      <c r="A11" s="1"/>
      <c r="B11" s="3" t="s">
        <v>2</v>
      </c>
      <c r="C11" s="4">
        <f>E5+E6*E10</f>
        <v>6</v>
      </c>
      <c r="D11" s="5"/>
      <c r="E11" s="5"/>
      <c r="F11" s="1"/>
      <c r="G11" s="44"/>
      <c r="H11" s="3" t="s">
        <v>22</v>
      </c>
      <c r="I11" s="6">
        <f>K11-K10/K4</f>
        <v>0.90909090568181838</v>
      </c>
      <c r="J11" s="3" t="s">
        <v>0</v>
      </c>
      <c r="K11" s="6">
        <f>(K3-I10)/K4</f>
        <v>2.2727272704545456</v>
      </c>
      <c r="L11" s="44"/>
      <c r="M11" s="2"/>
      <c r="N11" s="3" t="s">
        <v>4</v>
      </c>
      <c r="O11" s="6">
        <f>(Q3-Q5-Q4*Q10)/Q6</f>
        <v>1.2500000013888888</v>
      </c>
      <c r="P11" s="5"/>
      <c r="Q11" s="5"/>
      <c r="R11" s="2"/>
      <c r="S11" s="5"/>
      <c r="T11" s="5"/>
      <c r="U11" s="1"/>
      <c r="V11" s="3" t="s">
        <v>2</v>
      </c>
      <c r="W11" s="4">
        <f>Y5+Y6*Y10</f>
        <v>6</v>
      </c>
      <c r="X11" s="5"/>
      <c r="Y11" s="5"/>
      <c r="Z11" s="1"/>
      <c r="AA11" s="44"/>
      <c r="AB11" s="3" t="s">
        <v>22</v>
      </c>
      <c r="AC11" s="6">
        <f>AE11-AE10/AE4</f>
        <v>0.90909090568181838</v>
      </c>
      <c r="AD11" s="3" t="s">
        <v>0</v>
      </c>
      <c r="AE11" s="6">
        <f>(AE3-AC10)/AE4</f>
        <v>2.2727272704545456</v>
      </c>
      <c r="AF11" s="44"/>
      <c r="AG11" s="2"/>
      <c r="AH11" s="3" t="s">
        <v>4</v>
      </c>
      <c r="AI11" s="6">
        <f>(AK3-AK5-AK4*AK10)/AK6</f>
        <v>1.2500000013888888</v>
      </c>
      <c r="AJ11" s="5"/>
      <c r="AK11" s="5"/>
      <c r="AL11" s="2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</row>
    <row r="12" spans="1:64" x14ac:dyDescent="0.25">
      <c r="A12" s="1"/>
      <c r="B12" s="5"/>
      <c r="C12" s="5"/>
      <c r="D12" s="5"/>
      <c r="E12" s="5"/>
      <c r="F12" s="1"/>
      <c r="G12" s="44"/>
      <c r="H12" s="3" t="s">
        <v>4</v>
      </c>
      <c r="I12" s="6">
        <f>(K10-K5)/K6</f>
        <v>0.90909090984848484</v>
      </c>
      <c r="J12" s="5"/>
      <c r="K12" s="5"/>
      <c r="L12" s="44"/>
      <c r="M12" s="2"/>
      <c r="N12" s="5"/>
      <c r="O12" s="5"/>
      <c r="P12" s="5"/>
      <c r="Q12" s="5"/>
      <c r="R12" s="2"/>
      <c r="S12" s="5"/>
      <c r="T12" s="5"/>
      <c r="U12" s="1"/>
      <c r="V12" s="5"/>
      <c r="W12" s="5"/>
      <c r="X12" s="5"/>
      <c r="Y12" s="5"/>
      <c r="Z12" s="1"/>
      <c r="AA12" s="44"/>
      <c r="AB12" s="3" t="s">
        <v>4</v>
      </c>
      <c r="AC12" s="6">
        <f>(AE10-AE5)/AE6</f>
        <v>0.90909090984848484</v>
      </c>
      <c r="AD12" s="5"/>
      <c r="AE12" s="5"/>
      <c r="AF12" s="44"/>
      <c r="AG12" s="2"/>
      <c r="AH12" s="5"/>
      <c r="AI12" s="5"/>
      <c r="AJ12" s="5"/>
      <c r="AK12" s="5"/>
      <c r="AL12" s="2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</row>
    <row r="13" spans="1:64" x14ac:dyDescent="0.25">
      <c r="A13" s="1"/>
      <c r="B13" s="5" t="s">
        <v>15</v>
      </c>
      <c r="C13" s="6">
        <f>C9-C11</f>
        <v>0</v>
      </c>
      <c r="D13" s="5"/>
      <c r="E13" s="5"/>
      <c r="F13" s="1"/>
      <c r="G13" s="44"/>
      <c r="H13" s="5" t="s">
        <v>15</v>
      </c>
      <c r="I13" s="45">
        <f>I12-I11</f>
        <v>4.1666664563067002E-9</v>
      </c>
      <c r="J13" s="5"/>
      <c r="K13" s="5"/>
      <c r="L13" s="44"/>
      <c r="M13" s="2"/>
      <c r="N13" s="5" t="s">
        <v>15</v>
      </c>
      <c r="O13" s="6">
        <f>O10-O11</f>
        <v>-5.5555549050012587E-9</v>
      </c>
      <c r="P13" s="5"/>
      <c r="Q13" s="5"/>
      <c r="R13" s="2"/>
      <c r="S13" s="5"/>
      <c r="T13" s="5"/>
      <c r="U13" s="1"/>
      <c r="V13" s="5" t="s">
        <v>15</v>
      </c>
      <c r="W13" s="6">
        <f>W9-W11</f>
        <v>0</v>
      </c>
      <c r="X13" s="5"/>
      <c r="Y13" s="5"/>
      <c r="Z13" s="1"/>
      <c r="AA13" s="44"/>
      <c r="AB13" s="5" t="s">
        <v>15</v>
      </c>
      <c r="AC13" s="45">
        <f>AC12-AC11</f>
        <v>4.1666664563067002E-9</v>
      </c>
      <c r="AD13" s="5"/>
      <c r="AE13" s="5"/>
      <c r="AF13" s="44"/>
      <c r="AG13" s="2"/>
      <c r="AH13" s="5" t="s">
        <v>15</v>
      </c>
      <c r="AI13" s="6">
        <f>AI10-AI11</f>
        <v>-5.5555549050012587E-9</v>
      </c>
      <c r="AJ13" s="5"/>
      <c r="AK13" s="5"/>
      <c r="AL13" s="2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</row>
    <row r="14" spans="1:64" x14ac:dyDescent="0.25">
      <c r="A14" s="1"/>
      <c r="B14" s="5"/>
      <c r="C14" s="5"/>
      <c r="D14" s="5"/>
      <c r="E14" s="5"/>
      <c r="F14" s="1"/>
      <c r="G14" s="44"/>
      <c r="H14" s="5"/>
      <c r="J14" s="5"/>
      <c r="K14" s="5"/>
      <c r="L14" s="44"/>
      <c r="M14" s="2"/>
      <c r="N14" s="5"/>
      <c r="O14" s="5"/>
      <c r="P14" s="5"/>
      <c r="Q14" s="5"/>
      <c r="R14" s="2"/>
      <c r="S14" s="5"/>
      <c r="T14" s="5"/>
      <c r="U14" s="1"/>
      <c r="V14" s="5"/>
      <c r="W14" s="5"/>
      <c r="X14" s="5"/>
      <c r="Y14" s="5"/>
      <c r="Z14" s="1"/>
      <c r="AA14" s="44"/>
      <c r="AB14" s="5"/>
      <c r="AD14" s="5"/>
      <c r="AE14" s="5"/>
      <c r="AF14" s="44"/>
      <c r="AG14" s="2"/>
      <c r="AH14" s="5"/>
      <c r="AI14" s="5"/>
      <c r="AJ14" s="5"/>
      <c r="AK14" s="5"/>
      <c r="AL14" s="2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</row>
    <row r="15" spans="1:64" ht="15.75" thickBot="1" x14ac:dyDescent="0.3">
      <c r="A15" s="1"/>
      <c r="B15" s="234" t="s">
        <v>7</v>
      </c>
      <c r="C15" s="234"/>
      <c r="D15" s="234"/>
      <c r="E15" s="234"/>
      <c r="F15" s="1"/>
      <c r="G15" s="44"/>
      <c r="H15" s="234" t="s">
        <v>7</v>
      </c>
      <c r="I15" s="234"/>
      <c r="J15" s="234"/>
      <c r="K15" s="234"/>
      <c r="L15" s="44"/>
      <c r="M15" s="2"/>
      <c r="N15" s="234" t="s">
        <v>7</v>
      </c>
      <c r="O15" s="234"/>
      <c r="P15" s="234"/>
      <c r="Q15" s="234"/>
      <c r="R15" s="2"/>
      <c r="S15" s="5"/>
      <c r="T15" s="5"/>
      <c r="U15" s="1"/>
      <c r="V15" s="234" t="s">
        <v>7</v>
      </c>
      <c r="W15" s="234"/>
      <c r="X15" s="234"/>
      <c r="Y15" s="234"/>
      <c r="Z15" s="1"/>
      <c r="AA15" s="44"/>
      <c r="AB15" s="234" t="s">
        <v>7</v>
      </c>
      <c r="AC15" s="234"/>
      <c r="AD15" s="234"/>
      <c r="AE15" s="234"/>
      <c r="AF15" s="44"/>
      <c r="AG15" s="2"/>
      <c r="AH15" s="234" t="s">
        <v>7</v>
      </c>
      <c r="AI15" s="234"/>
      <c r="AJ15" s="234"/>
      <c r="AK15" s="234"/>
      <c r="AL15" s="2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</row>
    <row r="16" spans="1:64" ht="15.75" thickTop="1" x14ac:dyDescent="0.25">
      <c r="A16" s="1"/>
      <c r="B16" s="5"/>
      <c r="C16" s="5"/>
      <c r="D16" s="5"/>
      <c r="E16" s="5"/>
      <c r="F16" s="1"/>
      <c r="G16" s="44"/>
      <c r="H16" s="5"/>
      <c r="I16" s="5"/>
      <c r="J16" s="5"/>
      <c r="K16" s="5"/>
      <c r="L16" s="44"/>
      <c r="M16" s="2"/>
      <c r="N16" s="5"/>
      <c r="O16" s="5"/>
      <c r="P16" s="5"/>
      <c r="Q16" s="5"/>
      <c r="R16" s="2"/>
      <c r="S16" s="5"/>
      <c r="T16" s="5"/>
      <c r="U16" s="1"/>
      <c r="V16" s="5"/>
      <c r="W16" s="5"/>
      <c r="X16" s="5"/>
      <c r="Y16" s="5"/>
      <c r="Z16" s="1"/>
      <c r="AA16" s="44"/>
      <c r="AB16" s="5"/>
      <c r="AC16" s="5"/>
      <c r="AD16" s="5"/>
      <c r="AE16" s="5"/>
      <c r="AF16" s="44"/>
      <c r="AG16" s="2"/>
      <c r="AH16" s="5"/>
      <c r="AI16" s="5"/>
      <c r="AJ16" s="5"/>
      <c r="AK16" s="5"/>
      <c r="AL16" s="2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</row>
    <row r="17" spans="1:66" x14ac:dyDescent="0.25">
      <c r="A17" s="1"/>
      <c r="B17" s="5"/>
      <c r="C17" s="16" t="s">
        <v>17</v>
      </c>
      <c r="D17" s="60">
        <v>1</v>
      </c>
      <c r="E17" s="5"/>
      <c r="F17" s="1"/>
      <c r="G17" s="44"/>
      <c r="H17" s="5"/>
      <c r="I17" s="16" t="s">
        <v>17</v>
      </c>
      <c r="J17" s="59">
        <v>1</v>
      </c>
      <c r="K17" s="5"/>
      <c r="L17" s="44"/>
      <c r="M17" s="2"/>
      <c r="N17" s="5"/>
      <c r="O17" s="16" t="s">
        <v>17</v>
      </c>
      <c r="P17" s="60">
        <v>1</v>
      </c>
      <c r="Q17" s="5"/>
      <c r="R17" s="2"/>
      <c r="S17" s="5"/>
      <c r="T17" s="5"/>
      <c r="U17" s="1"/>
      <c r="V17" s="5"/>
      <c r="W17" s="16" t="s">
        <v>17</v>
      </c>
      <c r="X17" s="20">
        <v>0.625</v>
      </c>
      <c r="Y17" s="5"/>
      <c r="Z17" s="1"/>
      <c r="AA17" s="44"/>
      <c r="AB17" s="5"/>
      <c r="AC17" s="16" t="s">
        <v>17</v>
      </c>
      <c r="AD17" s="20">
        <v>0.625</v>
      </c>
      <c r="AE17" s="5"/>
      <c r="AF17" s="44"/>
      <c r="AG17" s="2"/>
      <c r="AH17" s="5"/>
      <c r="AI17" s="16" t="s">
        <v>17</v>
      </c>
      <c r="AJ17" s="20">
        <v>0.625</v>
      </c>
      <c r="AK17" s="5"/>
      <c r="AL17" s="2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</row>
    <row r="18" spans="1:66" x14ac:dyDescent="0.25">
      <c r="A18" s="1"/>
      <c r="B18" s="5" t="s">
        <v>16</v>
      </c>
      <c r="C18" s="6">
        <f>E3-E4*(E20+D17)</f>
        <v>4.8000000000000007</v>
      </c>
      <c r="D18" s="3" t="s">
        <v>8</v>
      </c>
      <c r="E18" s="4">
        <v>2.5999999999999996</v>
      </c>
      <c r="F18" s="1"/>
      <c r="G18" s="44"/>
      <c r="H18" s="3" t="s">
        <v>16</v>
      </c>
      <c r="I18" s="6">
        <f>K7*K18</f>
        <v>4.3636363636363633</v>
      </c>
      <c r="J18" s="3" t="s">
        <v>47</v>
      </c>
      <c r="K18" s="6">
        <v>2.1818181818181817</v>
      </c>
      <c r="L18" s="44"/>
      <c r="M18" s="2"/>
      <c r="N18" s="3" t="s">
        <v>16</v>
      </c>
      <c r="O18" s="6">
        <f>Q3-Q4*(Q20+P17)</f>
        <v>3.0000000033333327</v>
      </c>
      <c r="P18" s="3" t="s">
        <v>8</v>
      </c>
      <c r="Q18" s="6">
        <v>3.4999999983333336</v>
      </c>
      <c r="R18" s="2"/>
      <c r="S18" s="5"/>
      <c r="T18" s="5"/>
      <c r="U18" s="1"/>
      <c r="V18" s="5" t="s">
        <v>16</v>
      </c>
      <c r="W18" s="4">
        <f>Y3-Y4*Y18</f>
        <v>4.8</v>
      </c>
      <c r="X18" s="3" t="s">
        <v>8</v>
      </c>
      <c r="Y18" s="4">
        <v>2.6</v>
      </c>
      <c r="Z18" s="1"/>
      <c r="AA18" s="44"/>
      <c r="AB18" s="3" t="s">
        <v>16</v>
      </c>
      <c r="AC18" s="6">
        <f>AE7*AE18</f>
        <v>4.8979591894098178</v>
      </c>
      <c r="AD18" s="3" t="s">
        <v>47</v>
      </c>
      <c r="AE18" s="6">
        <v>2.4489795947049089</v>
      </c>
      <c r="AF18" s="44"/>
      <c r="AG18" s="2"/>
      <c r="AH18" s="3" t="s">
        <v>16</v>
      </c>
      <c r="AI18" s="6">
        <f>AK3-AK4*AK18</f>
        <v>3.2432432480894686</v>
      </c>
      <c r="AJ18" s="3" t="s">
        <v>8</v>
      </c>
      <c r="AK18" s="6">
        <v>3.3783783759552657</v>
      </c>
      <c r="AL18" s="2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</row>
    <row r="19" spans="1:66" x14ac:dyDescent="0.25">
      <c r="A19" s="1"/>
      <c r="B19" s="5"/>
      <c r="C19" s="5"/>
      <c r="D19" s="5"/>
      <c r="E19" s="5"/>
      <c r="F19" s="1"/>
      <c r="G19" s="44"/>
      <c r="H19" s="3" t="s">
        <v>23</v>
      </c>
      <c r="I19" s="6">
        <f>K19-K18/K4</f>
        <v>1.7272727272727275</v>
      </c>
      <c r="J19" s="3" t="s">
        <v>8</v>
      </c>
      <c r="K19" s="6">
        <f>(K3-I18)/K4</f>
        <v>2.8181818181818183</v>
      </c>
      <c r="L19" s="44"/>
      <c r="M19" s="2"/>
      <c r="N19" s="3" t="s">
        <v>23</v>
      </c>
      <c r="O19" s="6">
        <f>(2*Q18)-(Q3/Q4)-P17</f>
        <v>0.99999999666666728</v>
      </c>
      <c r="P19" s="5"/>
      <c r="Q19" s="5"/>
      <c r="R19" s="2"/>
      <c r="S19" s="5"/>
      <c r="T19" s="5"/>
      <c r="U19" s="1"/>
      <c r="V19" s="5"/>
      <c r="W19" s="5"/>
      <c r="X19" s="5"/>
      <c r="Y19" s="5"/>
      <c r="Z19" s="1"/>
      <c r="AA19" s="44"/>
      <c r="AB19" s="3" t="s">
        <v>23</v>
      </c>
      <c r="AC19" s="6">
        <f>(AE19-(AE18/AE4))/(1+AD17)</f>
        <v>0.81632652796469951</v>
      </c>
      <c r="AD19" s="3" t="s">
        <v>8</v>
      </c>
      <c r="AE19" s="6">
        <f>(AE3-AC18)/AE4</f>
        <v>2.5510204052950911</v>
      </c>
      <c r="AF19" s="44"/>
      <c r="AG19" s="2"/>
      <c r="AH19" s="3" t="s">
        <v>23</v>
      </c>
      <c r="AI19" s="6">
        <f>(2*AK18-(AK3/AK4))/(1+AJ17)</f>
        <v>1.0810810780987885</v>
      </c>
      <c r="AJ19" s="5"/>
      <c r="AK19" s="5"/>
      <c r="AL19" s="2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</row>
    <row r="20" spans="1:66" x14ac:dyDescent="0.25">
      <c r="A20" s="1"/>
      <c r="B20" s="3" t="s">
        <v>2</v>
      </c>
      <c r="C20" s="6">
        <f>E5+E6*E20</f>
        <v>4.7999999999999989</v>
      </c>
      <c r="D20" s="3" t="s">
        <v>9</v>
      </c>
      <c r="E20" s="45">
        <f>E18-D17</f>
        <v>1.5999999999999996</v>
      </c>
      <c r="F20" s="1"/>
      <c r="G20" s="44"/>
      <c r="H20" s="3" t="s">
        <v>4</v>
      </c>
      <c r="I20" s="6">
        <f>(K18-K5)/K6</f>
        <v>0.72727272727272718</v>
      </c>
      <c r="J20" s="3" t="s">
        <v>9</v>
      </c>
      <c r="K20" s="6">
        <f>K19-J17</f>
        <v>1.8181818181818183</v>
      </c>
      <c r="L20" s="44"/>
      <c r="M20" s="2"/>
      <c r="N20" s="3" t="s">
        <v>4</v>
      </c>
      <c r="O20" s="6">
        <f>(Q3-Q5-Q4*Q18)/Q6</f>
        <v>1.000000001111111</v>
      </c>
      <c r="P20" s="3" t="s">
        <v>9</v>
      </c>
      <c r="Q20" s="6">
        <f>Q18-P17</f>
        <v>2.4999999983333336</v>
      </c>
      <c r="R20" s="2"/>
      <c r="S20" s="5"/>
      <c r="T20" s="5"/>
      <c r="U20" s="1"/>
      <c r="V20" s="3" t="s">
        <v>2</v>
      </c>
      <c r="W20" s="4">
        <f>Y5+Y6*Y20</f>
        <v>4.8000000000000007</v>
      </c>
      <c r="X20" s="3" t="s">
        <v>9</v>
      </c>
      <c r="Y20" s="4">
        <f>Y18/(1+X17)</f>
        <v>1.6</v>
      </c>
      <c r="Z20" s="1"/>
      <c r="AA20" s="44"/>
      <c r="AB20" s="3" t="s">
        <v>4</v>
      </c>
      <c r="AC20" s="6">
        <f>(AE18-AE5)/AE6</f>
        <v>0.81632653156830293</v>
      </c>
      <c r="AD20" s="3" t="s">
        <v>9</v>
      </c>
      <c r="AE20" s="6">
        <f>AE19/(1+AD17)</f>
        <v>1.5698587109508253</v>
      </c>
      <c r="AF20" s="44"/>
      <c r="AG20" s="2"/>
      <c r="AH20" s="3" t="s">
        <v>4</v>
      </c>
      <c r="AI20" s="6">
        <f>(AI18-AK5)/AK6</f>
        <v>1.0810810826964896</v>
      </c>
      <c r="AJ20" s="3" t="s">
        <v>9</v>
      </c>
      <c r="AK20" s="6">
        <f>AK18/(1+AJ17)</f>
        <v>2.0790020775109328</v>
      </c>
      <c r="AL20" s="2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</row>
    <row r="21" spans="1:66" x14ac:dyDescent="0.25">
      <c r="A21" s="1"/>
      <c r="B21" s="5"/>
      <c r="C21" s="5"/>
      <c r="D21" s="5"/>
      <c r="E21" s="5"/>
      <c r="F21" s="1"/>
      <c r="G21" s="44"/>
      <c r="H21" s="5"/>
      <c r="I21" s="5"/>
      <c r="J21" s="5"/>
      <c r="K21" s="5"/>
      <c r="L21" s="44"/>
      <c r="M21" s="2"/>
      <c r="N21" s="5"/>
      <c r="O21" s="5"/>
      <c r="P21" s="5"/>
      <c r="Q21" s="5"/>
      <c r="R21" s="2"/>
      <c r="S21" s="5"/>
      <c r="T21" s="5"/>
      <c r="U21" s="1"/>
      <c r="V21" s="5"/>
      <c r="W21" s="5"/>
      <c r="X21" s="5"/>
      <c r="Y21" s="5"/>
      <c r="Z21" s="1"/>
      <c r="AA21" s="44"/>
      <c r="AB21" s="5"/>
      <c r="AC21" s="5"/>
      <c r="AD21" s="5"/>
      <c r="AE21" s="5"/>
      <c r="AF21" s="44"/>
      <c r="AG21" s="2"/>
      <c r="AH21" s="5"/>
      <c r="AI21" s="5"/>
      <c r="AJ21" s="5"/>
      <c r="AK21" s="5"/>
      <c r="AL21" s="2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</row>
    <row r="22" spans="1:66" x14ac:dyDescent="0.25">
      <c r="A22" s="1"/>
      <c r="B22" s="5" t="s">
        <v>15</v>
      </c>
      <c r="C22" s="6">
        <f>C20-C18</f>
        <v>0</v>
      </c>
      <c r="D22" s="5"/>
      <c r="E22" s="5"/>
      <c r="F22" s="1"/>
      <c r="G22" s="44"/>
      <c r="H22" s="5" t="s">
        <v>15</v>
      </c>
      <c r="I22" s="6">
        <f>I19-I20-J17</f>
        <v>0</v>
      </c>
      <c r="J22" s="5"/>
      <c r="K22" s="5"/>
      <c r="L22" s="44"/>
      <c r="M22" s="2"/>
      <c r="N22" s="5" t="s">
        <v>15</v>
      </c>
      <c r="O22" s="6">
        <f>O20-O19</f>
        <v>4.444443701956402E-9</v>
      </c>
      <c r="P22" s="5"/>
      <c r="Q22" s="5"/>
      <c r="R22" s="2"/>
      <c r="S22" s="5"/>
      <c r="T22" s="5"/>
      <c r="U22" s="1"/>
      <c r="V22" s="5" t="s">
        <v>15</v>
      </c>
      <c r="W22" s="22">
        <f>W20-W18</f>
        <v>0</v>
      </c>
      <c r="X22" s="5"/>
      <c r="Y22" s="5"/>
      <c r="Z22" s="1"/>
      <c r="AA22" s="44"/>
      <c r="AB22" s="5" t="s">
        <v>15</v>
      </c>
      <c r="AC22" s="6">
        <f>AC20-AC19</f>
        <v>3.6036034156694541E-9</v>
      </c>
      <c r="AD22" s="5"/>
      <c r="AE22" s="5"/>
      <c r="AF22" s="44"/>
      <c r="AG22" s="2"/>
      <c r="AH22" s="5" t="s">
        <v>15</v>
      </c>
      <c r="AI22" s="6">
        <f>AI20-AI19</f>
        <v>4.5977011087217079E-9</v>
      </c>
      <c r="AJ22" s="5"/>
      <c r="AK22" s="5"/>
      <c r="AL22" s="2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</row>
    <row r="23" spans="1:66" x14ac:dyDescent="0.25">
      <c r="A23" s="1"/>
      <c r="B23" s="5"/>
      <c r="C23" s="5"/>
      <c r="D23" s="5"/>
      <c r="E23" s="5"/>
      <c r="F23" s="1"/>
      <c r="G23" s="44"/>
      <c r="H23" s="5"/>
      <c r="I23" s="5"/>
      <c r="J23" s="5"/>
      <c r="K23" s="5"/>
      <c r="L23" s="44"/>
      <c r="M23" s="2"/>
      <c r="N23" s="5"/>
      <c r="O23" s="5"/>
      <c r="P23" s="5"/>
      <c r="Q23" s="5"/>
      <c r="R23" s="2"/>
      <c r="S23" s="5"/>
      <c r="T23" s="5"/>
      <c r="U23" s="1"/>
      <c r="V23" s="5"/>
      <c r="W23" s="5"/>
      <c r="X23" s="5"/>
      <c r="Y23" s="5"/>
      <c r="Z23" s="1"/>
      <c r="AA23" s="44"/>
      <c r="AB23" s="5"/>
      <c r="AC23" s="5"/>
      <c r="AD23" s="5"/>
      <c r="AE23" s="5"/>
      <c r="AF23" s="44"/>
      <c r="AG23" s="2"/>
      <c r="AH23" s="5"/>
      <c r="AI23" s="5"/>
      <c r="AJ23" s="5"/>
      <c r="AK23" s="5"/>
      <c r="AL23" s="2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</row>
    <row r="24" spans="1:66" ht="15.75" thickBot="1" x14ac:dyDescent="0.3">
      <c r="A24" s="1"/>
      <c r="B24" s="234" t="s">
        <v>26</v>
      </c>
      <c r="C24" s="234"/>
      <c r="D24" s="234"/>
      <c r="E24" s="234"/>
      <c r="F24" s="1"/>
      <c r="G24" s="44"/>
      <c r="H24" s="234" t="s">
        <v>26</v>
      </c>
      <c r="I24" s="234"/>
      <c r="J24" s="234"/>
      <c r="K24" s="234"/>
      <c r="L24" s="44"/>
      <c r="M24" s="2"/>
      <c r="N24" s="234" t="s">
        <v>26</v>
      </c>
      <c r="O24" s="234"/>
      <c r="P24" s="234"/>
      <c r="Q24" s="234"/>
      <c r="R24" s="2"/>
      <c r="S24" s="5"/>
      <c r="T24" s="5"/>
      <c r="U24" s="1"/>
      <c r="V24" s="234" t="s">
        <v>26</v>
      </c>
      <c r="W24" s="234"/>
      <c r="X24" s="234"/>
      <c r="Y24" s="234"/>
      <c r="Z24" s="1"/>
      <c r="AA24" s="44"/>
      <c r="AB24" s="234" t="s">
        <v>26</v>
      </c>
      <c r="AC24" s="234"/>
      <c r="AD24" s="234"/>
      <c r="AE24" s="234"/>
      <c r="AF24" s="44"/>
      <c r="AG24" s="2"/>
      <c r="AH24" s="234" t="s">
        <v>26</v>
      </c>
      <c r="AI24" s="234"/>
      <c r="AJ24" s="234"/>
      <c r="AK24" s="234"/>
      <c r="AL24" s="2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</row>
    <row r="25" spans="1:66" ht="15.75" thickTop="1" x14ac:dyDescent="0.25">
      <c r="A25" s="1"/>
      <c r="B25" s="5"/>
      <c r="C25" s="3" t="s">
        <v>18</v>
      </c>
      <c r="D25" s="23">
        <f>(E18-E10)/E10</f>
        <v>0.29999999999999982</v>
      </c>
      <c r="E25" s="5"/>
      <c r="F25" s="1"/>
      <c r="G25" s="44"/>
      <c r="H25" s="5"/>
      <c r="I25" s="3" t="s">
        <v>18</v>
      </c>
      <c r="J25" s="23">
        <f>(K19-K11)/K11</f>
        <v>0.24000000124000001</v>
      </c>
      <c r="K25" s="5"/>
      <c r="L25" s="44"/>
      <c r="M25" s="2"/>
      <c r="N25" s="5"/>
      <c r="O25" s="3" t="s">
        <v>18</v>
      </c>
      <c r="P25" s="23">
        <f>(Q18-Q10)/Q10</f>
        <v>0.12000000021333333</v>
      </c>
      <c r="Q25" s="5"/>
      <c r="R25" s="2"/>
      <c r="S25" s="5"/>
      <c r="T25" s="5"/>
      <c r="U25" s="1"/>
      <c r="V25" s="5"/>
      <c r="W25" s="3" t="s">
        <v>18</v>
      </c>
      <c r="X25" s="23">
        <f>(Y18-Y10)/Y10</f>
        <v>0.30000000000000004</v>
      </c>
      <c r="Y25" s="5"/>
      <c r="Z25" s="1"/>
      <c r="AA25" s="44"/>
      <c r="AB25" s="5"/>
      <c r="AC25" s="3" t="s">
        <v>18</v>
      </c>
      <c r="AD25" s="23">
        <f>(AE19-AE11)/AE11</f>
        <v>0.122448979452289</v>
      </c>
      <c r="AE25" s="5"/>
      <c r="AF25" s="44"/>
      <c r="AG25" s="2"/>
      <c r="AH25" s="5"/>
      <c r="AI25" s="3" t="s">
        <v>18</v>
      </c>
      <c r="AJ25" s="23">
        <f>(AK18-AK10)/AK10</f>
        <v>8.1081081026405641E-2</v>
      </c>
      <c r="AK25" s="5"/>
      <c r="AL25" s="2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</row>
    <row r="26" spans="1:66" x14ac:dyDescent="0.25">
      <c r="A26" s="1"/>
      <c r="B26" s="5"/>
      <c r="C26" s="3" t="s">
        <v>19</v>
      </c>
      <c r="D26" s="23">
        <f>(C18/C9)-1</f>
        <v>-0.19999999999999984</v>
      </c>
      <c r="E26" s="5"/>
      <c r="F26" s="1"/>
      <c r="G26" s="44"/>
      <c r="H26" s="5"/>
      <c r="I26" s="3" t="s">
        <v>19</v>
      </c>
      <c r="J26" s="23">
        <f>(I18/I10)-1</f>
        <v>-0.20000000066666668</v>
      </c>
      <c r="K26" s="5"/>
      <c r="L26" s="44"/>
      <c r="M26" s="2"/>
      <c r="N26" s="5"/>
      <c r="O26" s="3" t="s">
        <v>19</v>
      </c>
      <c r="P26" s="23">
        <f>(O18/O9)-1</f>
        <v>-0.20000000000000007</v>
      </c>
      <c r="Q26" s="5"/>
      <c r="R26" s="2"/>
      <c r="S26" s="5"/>
      <c r="T26" s="5"/>
      <c r="U26" s="1"/>
      <c r="V26" s="5"/>
      <c r="W26" s="3" t="s">
        <v>19</v>
      </c>
      <c r="X26" s="23">
        <f>(W18/W9)-1</f>
        <v>-0.20000000000000007</v>
      </c>
      <c r="Y26" s="5"/>
      <c r="Z26" s="1"/>
      <c r="AA26" s="44"/>
      <c r="AB26" s="5"/>
      <c r="AC26" s="3" t="s">
        <v>19</v>
      </c>
      <c r="AD26" s="23">
        <f>(AC18/AC10)-1</f>
        <v>-0.10204081602316606</v>
      </c>
      <c r="AE26" s="5"/>
      <c r="AF26" s="44"/>
      <c r="AG26" s="2"/>
      <c r="AH26" s="5"/>
      <c r="AI26" s="3" t="s">
        <v>19</v>
      </c>
      <c r="AJ26" s="23">
        <f>(AI18/AI9)-1</f>
        <v>-0.13513513480376915</v>
      </c>
      <c r="AK26" s="5"/>
      <c r="AL26" s="2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</row>
    <row r="27" spans="1:66" x14ac:dyDescent="0.25">
      <c r="A27" s="1"/>
      <c r="B27" s="5"/>
      <c r="C27" s="3" t="s">
        <v>36</v>
      </c>
      <c r="D27" s="25">
        <f>(E10*C11) - (E5*E10+E6/2*(E10^2))</f>
        <v>6</v>
      </c>
      <c r="E27" s="5"/>
      <c r="F27" s="1"/>
      <c r="G27" s="44"/>
      <c r="H27" s="5"/>
      <c r="I27" s="3" t="s">
        <v>36</v>
      </c>
      <c r="J27" s="25">
        <f>(K11*K10) - (K10*(((-K5/K6)+I12)/2))</f>
        <v>4.9586776828512402</v>
      </c>
      <c r="K27" s="5"/>
      <c r="L27" s="44"/>
      <c r="M27" s="2"/>
      <c r="N27" s="5"/>
      <c r="O27" s="3" t="s">
        <v>36</v>
      </c>
      <c r="P27" s="25">
        <f>(Q10*O9)-((O9^2-2*Q5*O9)/(2*Q6))</f>
        <v>9.375</v>
      </c>
      <c r="Q27" s="5"/>
      <c r="R27" s="2"/>
      <c r="S27" s="5"/>
      <c r="T27" s="5"/>
      <c r="U27" s="1"/>
      <c r="V27" s="5"/>
      <c r="W27" s="3" t="s">
        <v>36</v>
      </c>
      <c r="X27" s="25">
        <f>(Y10*W11) - ( (W11^2-2*Y5*W11)/(2*Y6) )</f>
        <v>6</v>
      </c>
      <c r="Y27" s="5"/>
      <c r="Z27" s="1"/>
      <c r="AA27" s="44"/>
      <c r="AB27" s="5"/>
      <c r="AC27" s="3" t="s">
        <v>36</v>
      </c>
      <c r="AD27" s="25">
        <f>(AE11*AE10) - (AE10*(((-AE5/AE6)+AC12)/2))</f>
        <v>4.9586776828512402</v>
      </c>
      <c r="AE27" s="5"/>
      <c r="AF27" s="44"/>
      <c r="AG27" s="2"/>
      <c r="AH27" s="5"/>
      <c r="AI27" s="3" t="s">
        <v>36</v>
      </c>
      <c r="AJ27" s="25">
        <f>(AK10*AI9)-((AI9^2-2*AK5*AI9)/(2*AK6))</f>
        <v>9.375</v>
      </c>
      <c r="AK27" s="5"/>
      <c r="AL27" s="2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</row>
    <row r="28" spans="1:66" x14ac:dyDescent="0.25">
      <c r="A28" s="1"/>
      <c r="B28" s="5"/>
      <c r="C28" s="3" t="s">
        <v>55</v>
      </c>
      <c r="D28" s="25">
        <f>(E20*C20) - (E5*E20+E6/2*(E20^2))</f>
        <v>3.8399999999999981</v>
      </c>
      <c r="E28" s="5"/>
      <c r="F28" s="1"/>
      <c r="G28" s="44"/>
      <c r="H28" s="5"/>
      <c r="I28" s="3" t="s">
        <v>55</v>
      </c>
      <c r="J28" s="25">
        <f>(K20*K18) - (K18*(((-K5/K6)+I20)/2))</f>
        <v>3.1735537190082646</v>
      </c>
      <c r="K28" s="5"/>
      <c r="L28" s="44"/>
      <c r="M28" s="2"/>
      <c r="N28" s="5"/>
      <c r="O28" s="3" t="s">
        <v>55</v>
      </c>
      <c r="P28" s="25">
        <f>(Q20*O18) - ( (O18^2-2*Q5*O18)/(2*Q6) )</f>
        <v>6</v>
      </c>
      <c r="Q28" s="5"/>
      <c r="R28" s="2"/>
      <c r="S28" s="5"/>
      <c r="T28" s="5"/>
      <c r="U28" s="1"/>
      <c r="V28" s="5"/>
      <c r="W28" s="3" t="s">
        <v>55</v>
      </c>
      <c r="X28" s="25">
        <f>(Y20*W20) - ( (W20^2-2*Y5*W20)/(2*Y6) )</f>
        <v>3.8400000000000003</v>
      </c>
      <c r="Y28" s="5"/>
      <c r="Z28" s="1"/>
      <c r="AA28" s="44"/>
      <c r="AB28" s="5"/>
      <c r="AC28" s="3" t="s">
        <v>55</v>
      </c>
      <c r="AD28" s="25">
        <f>(AE20*AE18) - (AE18*(((-AE5/AE6)+AC20)/2))</f>
        <v>2.8449684404748194</v>
      </c>
      <c r="AE28" s="5"/>
      <c r="AF28" s="44"/>
      <c r="AG28" s="2"/>
      <c r="AH28" s="5"/>
      <c r="AI28" s="3" t="s">
        <v>55</v>
      </c>
      <c r="AJ28" s="25">
        <f>(AK20*AI18) - ( (AI18^2-2*AK5*AI18)/(2*AK6) )</f>
        <v>4.9896049896049899</v>
      </c>
      <c r="AK28" s="5"/>
      <c r="AL28" s="2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</row>
    <row r="29" spans="1:66" x14ac:dyDescent="0.25">
      <c r="A29" s="1"/>
      <c r="B29" s="5"/>
      <c r="C29" s="3" t="s">
        <v>34</v>
      </c>
      <c r="D29" s="23">
        <f>D28/D27-1</f>
        <v>-0.36000000000000032</v>
      </c>
      <c r="E29" s="5"/>
      <c r="F29" s="1"/>
      <c r="G29" s="44"/>
      <c r="H29" s="5"/>
      <c r="I29" s="3" t="s">
        <v>34</v>
      </c>
      <c r="J29" s="23">
        <f>J28/J27-1</f>
        <v>-0.35999999960000006</v>
      </c>
      <c r="K29" s="5"/>
      <c r="L29" s="44"/>
      <c r="M29" s="2"/>
      <c r="N29" s="5"/>
      <c r="O29" s="3" t="s">
        <v>34</v>
      </c>
      <c r="P29" s="23">
        <f>P28/P27-1</f>
        <v>-0.36</v>
      </c>
      <c r="Q29" s="5"/>
      <c r="R29" s="2"/>
      <c r="S29" s="5"/>
      <c r="T29" s="5"/>
      <c r="U29" s="1"/>
      <c r="V29" s="5"/>
      <c r="W29" s="3" t="s">
        <v>34</v>
      </c>
      <c r="X29" s="23">
        <f>X28/X27-1</f>
        <v>-0.36</v>
      </c>
      <c r="Y29" s="5"/>
      <c r="Z29" s="1"/>
      <c r="AA29" s="44"/>
      <c r="AB29" s="5"/>
      <c r="AC29" s="3" t="s">
        <v>34</v>
      </c>
      <c r="AD29" s="23">
        <f>AD28/AD27-1</f>
        <v>-0.42626469747899354</v>
      </c>
      <c r="AE29" s="5"/>
      <c r="AF29" s="44"/>
      <c r="AG29" s="2"/>
      <c r="AH29" s="5"/>
      <c r="AI29" s="3" t="s">
        <v>34</v>
      </c>
      <c r="AJ29" s="23">
        <f>AJ28/AJ27-1</f>
        <v>-0.46777546777546775</v>
      </c>
      <c r="AK29" s="5"/>
      <c r="AL29" s="2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</row>
    <row r="30" spans="1:66" x14ac:dyDescent="0.25">
      <c r="A30" s="1"/>
      <c r="B30" s="5"/>
      <c r="C30" s="3" t="s">
        <v>35</v>
      </c>
      <c r="D30" s="17">
        <f>(E20-E20)/E20</f>
        <v>0</v>
      </c>
      <c r="E30" s="5"/>
      <c r="F30" s="1"/>
      <c r="G30" s="44"/>
      <c r="H30" s="5"/>
      <c r="I30" s="3" t="s">
        <v>35</v>
      </c>
      <c r="J30" s="17">
        <f>(K20-I20)/K20</f>
        <v>0.6000000000000002</v>
      </c>
      <c r="K30" s="5"/>
      <c r="L30" s="44"/>
      <c r="M30" s="2"/>
      <c r="N30" s="5"/>
      <c r="O30" s="3" t="s">
        <v>35</v>
      </c>
      <c r="P30" s="17">
        <f>(Q20-O20)/Q20</f>
        <v>0.59999999928888903</v>
      </c>
      <c r="Q30" s="5"/>
      <c r="R30" s="2"/>
      <c r="S30" s="5"/>
      <c r="T30" s="5"/>
      <c r="U30" s="1"/>
      <c r="V30" s="5"/>
      <c r="W30" s="3" t="s">
        <v>35</v>
      </c>
      <c r="X30" s="17">
        <f>(Y20-Y20)/Y20</f>
        <v>0</v>
      </c>
      <c r="Y30" s="5"/>
      <c r="Z30" s="1"/>
      <c r="AA30" s="44"/>
      <c r="AB30" s="5"/>
      <c r="AC30" s="3" t="s">
        <v>35</v>
      </c>
      <c r="AD30" s="17">
        <f>(AE20-AC20)/AE20</f>
        <v>0.47999999880634242</v>
      </c>
      <c r="AE30" s="5"/>
      <c r="AF30" s="44"/>
      <c r="AG30" s="2"/>
      <c r="AH30" s="5"/>
      <c r="AI30" s="3" t="s">
        <v>35</v>
      </c>
      <c r="AJ30" s="17">
        <f>(AK20-AI20)/AK20</f>
        <v>0.47999999885002298</v>
      </c>
      <c r="AK30" s="5"/>
      <c r="AL30" s="2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</row>
    <row r="31" spans="1:66" x14ac:dyDescent="0.25">
      <c r="A31" s="1"/>
      <c r="B31" s="5"/>
      <c r="C31" s="3" t="s">
        <v>37</v>
      </c>
      <c r="D31" s="17">
        <f>1/(E4*E20/C20)</f>
        <v>1.5</v>
      </c>
      <c r="E31" s="5"/>
      <c r="F31" s="1"/>
      <c r="G31" s="44"/>
      <c r="H31" s="5"/>
      <c r="I31" s="3" t="s">
        <v>37</v>
      </c>
      <c r="J31" s="17">
        <f>1/(K4*K19/I18)</f>
        <v>0.77419354838709675</v>
      </c>
      <c r="K31" s="5"/>
      <c r="L31" s="44"/>
      <c r="M31" s="2"/>
      <c r="N31" s="5"/>
      <c r="O31" s="3" t="s">
        <v>37</v>
      </c>
      <c r="P31" s="17">
        <f>1/(Q4*Q18/O18)</f>
        <v>0.42857142925170055</v>
      </c>
      <c r="Q31" s="5"/>
      <c r="R31" s="2"/>
      <c r="S31" s="5"/>
      <c r="T31" s="5"/>
      <c r="U31" s="1"/>
      <c r="V31" s="5"/>
      <c r="W31" s="3" t="s">
        <v>37</v>
      </c>
      <c r="X31" s="17">
        <f>1/(Y4*Y20/W20)</f>
        <v>1.5</v>
      </c>
      <c r="Y31" s="5"/>
      <c r="Z31" s="1"/>
      <c r="AA31" s="44"/>
      <c r="AB31" s="5"/>
      <c r="AC31" s="3" t="s">
        <v>37</v>
      </c>
      <c r="AD31" s="17">
        <f>1/(AE4*AE19/AC18)</f>
        <v>0.96000000220367554</v>
      </c>
      <c r="AE31" s="5"/>
      <c r="AF31" s="44"/>
      <c r="AG31" s="2"/>
      <c r="AH31" s="5"/>
      <c r="AI31" s="3" t="s">
        <v>37</v>
      </c>
      <c r="AJ31" s="17">
        <f>1/(AK4*AK18/AI18)</f>
        <v>0.48000000106151725</v>
      </c>
      <c r="AK31" s="5"/>
      <c r="AL31" s="2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</row>
    <row r="32" spans="1:66" x14ac:dyDescent="0.25">
      <c r="A32" s="1"/>
      <c r="B32" s="5"/>
      <c r="C32" s="5"/>
      <c r="D32" s="5"/>
      <c r="E32" s="5"/>
      <c r="F32" s="1"/>
      <c r="G32" s="44"/>
      <c r="H32" s="5"/>
      <c r="I32" s="5"/>
      <c r="J32" s="5"/>
      <c r="K32" s="5"/>
      <c r="L32" s="44"/>
      <c r="M32" s="2"/>
      <c r="N32" s="5"/>
      <c r="O32" s="5"/>
      <c r="P32" s="5"/>
      <c r="Q32" s="5"/>
      <c r="R32" s="2"/>
      <c r="S32" s="5"/>
      <c r="T32" s="5"/>
      <c r="U32" s="1"/>
      <c r="V32" s="5"/>
      <c r="W32" s="5"/>
      <c r="X32" s="5"/>
      <c r="Y32" s="5"/>
      <c r="Z32" s="1"/>
      <c r="AA32" s="44"/>
      <c r="AB32" s="5"/>
      <c r="AC32" s="5"/>
      <c r="AD32" s="5"/>
      <c r="AE32" s="5"/>
      <c r="AF32" s="44"/>
      <c r="AG32" s="2"/>
      <c r="AH32" s="5"/>
      <c r="AI32" s="5"/>
      <c r="AJ32" s="5"/>
      <c r="AK32" s="5"/>
      <c r="AL32" s="2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</row>
    <row r="33" spans="1:66" x14ac:dyDescent="0.25">
      <c r="A33" s="1"/>
      <c r="B33" s="5"/>
      <c r="C33" s="3" t="s">
        <v>31</v>
      </c>
      <c r="D33" s="25">
        <f>(C9 * ((E3/E4) - E10))/2</f>
        <v>9</v>
      </c>
      <c r="E33" s="5"/>
      <c r="F33" s="1"/>
      <c r="G33" s="44"/>
      <c r="H33" s="5"/>
      <c r="I33" s="3" t="s">
        <v>31</v>
      </c>
      <c r="J33" s="25">
        <f>( ((K3/K4)-K11) * I10)/2</f>
        <v>7.4380165413223134</v>
      </c>
      <c r="K33" s="5"/>
      <c r="L33" s="44"/>
      <c r="M33" s="2"/>
      <c r="N33" s="5"/>
      <c r="O33" s="3" t="s">
        <v>31</v>
      </c>
      <c r="P33" s="25">
        <f>(O9 * ((Q3/Q4) - Q10))/2</f>
        <v>3.5156250078124991</v>
      </c>
      <c r="Q33" s="5"/>
      <c r="R33" s="2"/>
      <c r="S33" s="5"/>
      <c r="T33" s="5"/>
      <c r="U33" s="1"/>
      <c r="V33" s="5"/>
      <c r="W33" s="3" t="s">
        <v>31</v>
      </c>
      <c r="X33" s="25">
        <f>(W9 * ((Y3/Y4) - Y10))/2</f>
        <v>9</v>
      </c>
      <c r="Y33" s="5"/>
      <c r="Z33" s="1"/>
      <c r="AA33" s="44"/>
      <c r="AB33" s="5"/>
      <c r="AC33" s="3" t="s">
        <v>31</v>
      </c>
      <c r="AD33" s="25">
        <f>( ((AE3/AE4)-AE11) * AC10)/2</f>
        <v>7.4380165413223134</v>
      </c>
      <c r="AE33" s="5"/>
      <c r="AF33" s="44"/>
      <c r="AG33" s="2"/>
      <c r="AH33" s="5"/>
      <c r="AI33" s="3" t="s">
        <v>31</v>
      </c>
      <c r="AJ33" s="25">
        <f>(AI9 * ((AK3/AK4) - AK10))/2</f>
        <v>3.5156250078124991</v>
      </c>
      <c r="AK33" s="5"/>
      <c r="AL33" s="2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</row>
    <row r="34" spans="1:66" x14ac:dyDescent="0.25">
      <c r="A34" s="1"/>
      <c r="B34" s="5"/>
      <c r="C34" s="3" t="s">
        <v>32</v>
      </c>
      <c r="D34" s="25">
        <f>(C18 * ((E3/E4)-E18))/2</f>
        <v>5.7600000000000016</v>
      </c>
      <c r="E34" s="5"/>
      <c r="F34" s="1"/>
      <c r="G34" s="44"/>
      <c r="H34" s="5"/>
      <c r="I34" s="3" t="s">
        <v>32</v>
      </c>
      <c r="J34" s="25">
        <f>(I18 * ((K3/K4)-K19))/2</f>
        <v>4.7603305785123959</v>
      </c>
      <c r="K34" s="5"/>
      <c r="L34" s="44"/>
      <c r="M34" s="2"/>
      <c r="N34" s="5"/>
      <c r="O34" s="3" t="s">
        <v>32</v>
      </c>
      <c r="P34" s="25">
        <f>(O18 * ((Q3/Q4)-Q18))/2</f>
        <v>2.2500000049999991</v>
      </c>
      <c r="Q34" s="5"/>
      <c r="R34" s="2"/>
      <c r="S34" s="5"/>
      <c r="T34" s="5"/>
      <c r="U34" s="1"/>
      <c r="V34" s="5"/>
      <c r="W34" s="3" t="s">
        <v>32</v>
      </c>
      <c r="X34" s="25">
        <f>(W18 * ((Y3/Y4)-Y18))/2</f>
        <v>5.76</v>
      </c>
      <c r="Y34" s="5"/>
      <c r="Z34" s="1"/>
      <c r="AA34" s="44"/>
      <c r="AB34" s="5"/>
      <c r="AC34" s="3" t="s">
        <v>32</v>
      </c>
      <c r="AD34" s="25">
        <f>(AC18 * ((AE3/AE4)-AE19))/2</f>
        <v>5.9975010552810195</v>
      </c>
      <c r="AE34" s="5"/>
      <c r="AF34" s="44"/>
      <c r="AG34" s="2"/>
      <c r="AH34" s="5"/>
      <c r="AI34" s="3" t="s">
        <v>32</v>
      </c>
      <c r="AJ34" s="25">
        <f>(AI18 * ((AK3/AK4)-AK18))/2</f>
        <v>2.6296566915694815</v>
      </c>
      <c r="AK34" s="5"/>
      <c r="AL34" s="2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</row>
    <row r="35" spans="1:66" x14ac:dyDescent="0.25">
      <c r="A35" s="1"/>
      <c r="B35" s="5"/>
      <c r="C35" s="3" t="s">
        <v>33</v>
      </c>
      <c r="D35" s="23">
        <f>D34/D33-1</f>
        <v>-0.35999999999999988</v>
      </c>
      <c r="E35" s="5"/>
      <c r="F35" s="1"/>
      <c r="G35" s="44"/>
      <c r="H35" s="5"/>
      <c r="I35" s="3" t="s">
        <v>33</v>
      </c>
      <c r="J35" s="23">
        <f>J34/J33-1</f>
        <v>-0.36000000106666674</v>
      </c>
      <c r="K35" s="5"/>
      <c r="L35" s="44"/>
      <c r="M35" s="2"/>
      <c r="N35" s="5"/>
      <c r="O35" s="3" t="s">
        <v>33</v>
      </c>
      <c r="P35" s="23">
        <f>P34/P33-1</f>
        <v>-0.3600000000000001</v>
      </c>
      <c r="Q35" s="5"/>
      <c r="R35" s="2"/>
      <c r="S35" s="5"/>
      <c r="T35" s="5"/>
      <c r="U35" s="1"/>
      <c r="V35" s="5"/>
      <c r="W35" s="3" t="s">
        <v>33</v>
      </c>
      <c r="X35" s="23">
        <f>X34/X33-1</f>
        <v>-0.36</v>
      </c>
      <c r="Y35" s="5"/>
      <c r="Z35" s="1"/>
      <c r="AA35" s="44"/>
      <c r="AB35" s="5"/>
      <c r="AC35" s="3" t="s">
        <v>33</v>
      </c>
      <c r="AD35" s="23">
        <f>AD34/AD33-1</f>
        <v>-0.19366930391165849</v>
      </c>
      <c r="AE35" s="5"/>
      <c r="AF35" s="44"/>
      <c r="AG35" s="2"/>
      <c r="AH35" s="5"/>
      <c r="AI35" s="3" t="s">
        <v>33</v>
      </c>
      <c r="AJ35" s="23">
        <f>AJ34/AJ33-1</f>
        <v>-0.25200876494910562</v>
      </c>
      <c r="AK35" s="5"/>
      <c r="AL35" s="2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</row>
    <row r="36" spans="1:66" x14ac:dyDescent="0.25">
      <c r="A36" s="1"/>
      <c r="B36" s="5"/>
      <c r="C36" s="3" t="s">
        <v>24</v>
      </c>
      <c r="D36" s="57">
        <f>(E18-E20)*C18</f>
        <v>4.8000000000000007</v>
      </c>
      <c r="E36" s="5"/>
      <c r="F36" s="1"/>
      <c r="G36" s="44"/>
      <c r="H36" s="5"/>
      <c r="I36" s="3" t="s">
        <v>24</v>
      </c>
      <c r="J36" s="57">
        <f>(K19-K20)*I18</f>
        <v>4.3636363636363633</v>
      </c>
      <c r="K36" s="5"/>
      <c r="L36" s="44"/>
      <c r="M36" s="2"/>
      <c r="N36" s="5"/>
      <c r="O36" s="3" t="s">
        <v>24</v>
      </c>
      <c r="P36" s="57">
        <f>(Q18-Q20)*O18</f>
        <v>3.0000000033333327</v>
      </c>
      <c r="Q36" s="5"/>
      <c r="R36" s="2"/>
      <c r="S36" s="5"/>
      <c r="T36" s="5"/>
      <c r="U36" s="1"/>
      <c r="V36" s="5"/>
      <c r="W36" s="3" t="s">
        <v>24</v>
      </c>
      <c r="X36" s="57">
        <f>(Y18-Y20)*W18</f>
        <v>4.8</v>
      </c>
      <c r="Y36" s="5"/>
      <c r="Z36" s="1"/>
      <c r="AA36" s="44"/>
      <c r="AB36" s="5"/>
      <c r="AC36" s="3" t="s">
        <v>24</v>
      </c>
      <c r="AD36" s="57">
        <f>(AE19-AE20)*AC18</f>
        <v>4.8056899371104036</v>
      </c>
      <c r="AE36" s="5"/>
      <c r="AF36" s="44"/>
      <c r="AG36" s="2"/>
      <c r="AH36" s="5"/>
      <c r="AI36" s="3" t="s">
        <v>24</v>
      </c>
      <c r="AJ36" s="57">
        <f>(AK18-AK20)*AI18</f>
        <v>4.2141934066570688</v>
      </c>
      <c r="AK36" s="5"/>
      <c r="AL36" s="2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</row>
    <row r="37" spans="1:66" x14ac:dyDescent="0.25">
      <c r="A37" s="1"/>
      <c r="B37" s="5"/>
      <c r="C37" s="3" t="s">
        <v>25</v>
      </c>
      <c r="D37" s="58">
        <f>0.5*(C9-C18)*(E18-E20)</f>
        <v>0.59999999999999964</v>
      </c>
      <c r="E37" s="5"/>
      <c r="F37" s="1"/>
      <c r="G37" s="44"/>
      <c r="H37" s="5"/>
      <c r="I37" s="3" t="s">
        <v>25</v>
      </c>
      <c r="J37" s="58">
        <f>0.5*(I10-I18)*(K19-K20)</f>
        <v>0.54545454772727275</v>
      </c>
      <c r="K37" s="5"/>
      <c r="L37" s="44"/>
      <c r="M37" s="2"/>
      <c r="N37" s="5"/>
      <c r="O37" s="3" t="s">
        <v>25</v>
      </c>
      <c r="P37" s="58">
        <f>0.5*(O9-O18)*(Q18-Q20)</f>
        <v>0.3750000004166667</v>
      </c>
      <c r="Q37" s="5"/>
      <c r="R37" s="2"/>
      <c r="S37" s="5"/>
      <c r="T37" s="5"/>
      <c r="U37" s="1"/>
      <c r="V37" s="5"/>
      <c r="W37" s="3" t="s">
        <v>25</v>
      </c>
      <c r="X37" s="58">
        <f>0.5*(W9-W18)*(Y18-Y20)</f>
        <v>0.60000000000000009</v>
      </c>
      <c r="Y37" s="5"/>
      <c r="Z37" s="1"/>
      <c r="AA37" s="44"/>
      <c r="AB37" s="5"/>
      <c r="AC37" s="3" t="s">
        <v>25</v>
      </c>
      <c r="AD37" s="58">
        <f>0.5*(AC10-AC18)*(AE19-AE20)</f>
        <v>0.27305056370452685</v>
      </c>
      <c r="AE37" s="5"/>
      <c r="AF37" s="44"/>
      <c r="AG37" s="2"/>
      <c r="AH37" s="5"/>
      <c r="AI37" s="3" t="s">
        <v>25</v>
      </c>
      <c r="AJ37" s="58">
        <f>0.5*(AI9-AI18)*(AK18-AK20)</f>
        <v>0.32923385896162327</v>
      </c>
      <c r="AK37" s="5"/>
      <c r="AL37" s="2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</row>
    <row r="38" spans="1:66" x14ac:dyDescent="0.25">
      <c r="A38" s="1"/>
      <c r="B38" s="5"/>
      <c r="C38" s="3" t="s">
        <v>20</v>
      </c>
      <c r="D38" s="56">
        <f>E18-E10</f>
        <v>0.59999999999999964</v>
      </c>
      <c r="E38" s="5"/>
      <c r="F38" s="1"/>
      <c r="G38" s="44"/>
      <c r="H38" s="5"/>
      <c r="I38" s="3" t="s">
        <v>20</v>
      </c>
      <c r="J38" s="56">
        <f>K19-K11</f>
        <v>0.54545454772727275</v>
      </c>
      <c r="K38" s="5"/>
      <c r="L38" s="44"/>
      <c r="M38" s="2"/>
      <c r="N38" s="5"/>
      <c r="O38" s="3" t="s">
        <v>20</v>
      </c>
      <c r="P38" s="56">
        <f>Q18-Q10</f>
        <v>0.3750000004166667</v>
      </c>
      <c r="Q38" s="5"/>
      <c r="R38" s="2"/>
      <c r="S38" s="5"/>
      <c r="T38" s="5"/>
      <c r="U38" s="1"/>
      <c r="V38" s="5"/>
      <c r="W38" s="3" t="s">
        <v>20</v>
      </c>
      <c r="X38" s="56">
        <f>Y18-Y10</f>
        <v>0.60000000000000009</v>
      </c>
      <c r="Y38" s="5"/>
      <c r="Z38" s="1"/>
      <c r="AA38" s="44"/>
      <c r="AB38" s="5"/>
      <c r="AC38" s="3" t="s">
        <v>20</v>
      </c>
      <c r="AD38" s="56">
        <f>AE19-AE11</f>
        <v>0.27829313484054552</v>
      </c>
      <c r="AE38" s="5"/>
      <c r="AF38" s="44"/>
      <c r="AG38" s="2"/>
      <c r="AH38" s="5"/>
      <c r="AI38" s="3" t="s">
        <v>20</v>
      </c>
      <c r="AJ38" s="56">
        <f>AK18-AK10</f>
        <v>0.25337837803859875</v>
      </c>
      <c r="AK38" s="5"/>
      <c r="AL38" s="2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</row>
    <row r="39" spans="1:66" x14ac:dyDescent="0.25">
      <c r="A39" s="1"/>
      <c r="B39" s="5"/>
      <c r="C39" s="3" t="s">
        <v>21</v>
      </c>
      <c r="D39" s="56">
        <f>E10-E20</f>
        <v>0.40000000000000036</v>
      </c>
      <c r="E39" s="5"/>
      <c r="F39" s="1"/>
      <c r="G39" s="44"/>
      <c r="H39" s="5"/>
      <c r="I39" s="3" t="s">
        <v>21</v>
      </c>
      <c r="J39" s="56">
        <f>K11-K20</f>
        <v>0.45454545227272725</v>
      </c>
      <c r="K39" s="5"/>
      <c r="L39" s="44"/>
      <c r="M39" s="2"/>
      <c r="N39" s="5"/>
      <c r="O39" s="3" t="s">
        <v>21</v>
      </c>
      <c r="P39" s="56">
        <f>Q10-Q20</f>
        <v>0.6249999995833333</v>
      </c>
      <c r="Q39" s="5"/>
      <c r="R39" s="2"/>
      <c r="S39" s="5"/>
      <c r="T39" s="5"/>
      <c r="U39" s="1"/>
      <c r="V39" s="5"/>
      <c r="W39" s="3" t="s">
        <v>21</v>
      </c>
      <c r="X39" s="56">
        <f>Y10-Y20</f>
        <v>0.39999999999999991</v>
      </c>
      <c r="Y39" s="5"/>
      <c r="Z39" s="1"/>
      <c r="AA39" s="44"/>
      <c r="AB39" s="5"/>
      <c r="AC39" s="3" t="s">
        <v>21</v>
      </c>
      <c r="AD39" s="56">
        <f>AE11-AE20</f>
        <v>0.70286855950372029</v>
      </c>
      <c r="AE39" s="5"/>
      <c r="AF39" s="44"/>
      <c r="AG39" s="2"/>
      <c r="AH39" s="5"/>
      <c r="AI39" s="3" t="s">
        <v>21</v>
      </c>
      <c r="AJ39" s="56">
        <f>AK10-AK20</f>
        <v>1.0459979204057341</v>
      </c>
      <c r="AK39" s="5"/>
      <c r="AL39" s="2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</row>
    <row r="40" spans="1:66" x14ac:dyDescent="0.25">
      <c r="A40" s="1"/>
      <c r="B40" s="1"/>
      <c r="C40" s="1"/>
      <c r="D40" s="1"/>
      <c r="E40" s="1"/>
      <c r="F40" s="1"/>
      <c r="G40" s="44"/>
      <c r="H40" s="44"/>
      <c r="I40" s="44"/>
      <c r="J40" s="44"/>
      <c r="K40" s="44"/>
      <c r="L40" s="44"/>
      <c r="M40" s="2"/>
      <c r="N40" s="2"/>
      <c r="O40" s="2"/>
      <c r="P40" s="2"/>
      <c r="Q40" s="2"/>
      <c r="R40" s="2"/>
      <c r="S40" s="5"/>
      <c r="T40" s="5"/>
      <c r="U40" s="1"/>
      <c r="V40" s="1"/>
      <c r="W40" s="1"/>
      <c r="X40" s="1"/>
      <c r="Y40" s="1"/>
      <c r="Z40" s="1"/>
      <c r="AA40" s="44"/>
      <c r="AB40" s="44"/>
      <c r="AC40" s="44"/>
      <c r="AD40" s="44"/>
      <c r="AE40" s="44"/>
      <c r="AF40" s="44"/>
      <c r="AG40" s="2"/>
      <c r="AH40" s="2"/>
      <c r="AI40" s="2"/>
      <c r="AJ40" s="2"/>
      <c r="AK40" s="2"/>
      <c r="AL40" s="2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</row>
    <row r="41" spans="1:66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</row>
    <row r="42" spans="1:66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</row>
    <row r="43" spans="1:66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</row>
    <row r="44" spans="1:66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</row>
    <row r="45" spans="1:66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</row>
    <row r="46" spans="1:66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</row>
    <row r="47" spans="1:66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</row>
    <row r="48" spans="1:66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</row>
    <row r="49" spans="1:66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</row>
    <row r="50" spans="1:66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</row>
    <row r="51" spans="1:66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</row>
    <row r="52" spans="1:66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</row>
    <row r="53" spans="1:66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</row>
    <row r="54" spans="1:66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</row>
    <row r="55" spans="1:66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</row>
    <row r="56" spans="1:66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</row>
    <row r="57" spans="1:66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</row>
    <row r="58" spans="1:66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</row>
    <row r="59" spans="1:66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</row>
    <row r="60" spans="1:66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</row>
    <row r="61" spans="1:66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</row>
    <row r="62" spans="1:66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</row>
    <row r="63" spans="1:66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</row>
    <row r="64" spans="1:66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</row>
    <row r="65" spans="1:66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</row>
    <row r="66" spans="1:66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</row>
    <row r="67" spans="1:66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</row>
    <row r="68" spans="1:66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</row>
    <row r="69" spans="1:66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</row>
    <row r="70" spans="1:66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</row>
    <row r="71" spans="1:6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</row>
    <row r="72" spans="1:6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</row>
    <row r="73" spans="1:6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</row>
    <row r="74" spans="1:6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</row>
    <row r="75" spans="1:6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</row>
    <row r="76" spans="1:6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</row>
    <row r="77" spans="1:6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</row>
    <row r="78" spans="1:6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</row>
    <row r="79" spans="1:6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</row>
    <row r="80" spans="1:6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</row>
    <row r="81" spans="1:6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</row>
    <row r="82" spans="1:6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</row>
    <row r="83" spans="1:6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</row>
    <row r="84" spans="1:6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</row>
    <row r="85" spans="1:6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</row>
    <row r="86" spans="1:6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</row>
    <row r="87" spans="1:6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</row>
    <row r="88" spans="1:6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</row>
    <row r="89" spans="1:6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</row>
    <row r="90" spans="1:6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</row>
    <row r="91" spans="1:6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</row>
    <row r="92" spans="1:6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</row>
    <row r="93" spans="1:6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</row>
    <row r="94" spans="1:6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</row>
    <row r="95" spans="1:6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</row>
    <row r="96" spans="1:6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</row>
    <row r="97" spans="1:6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</row>
    <row r="98" spans="1:6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</row>
    <row r="99" spans="1:6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</row>
    <row r="100" spans="1:66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</row>
    <row r="101" spans="1:66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</row>
    <row r="102" spans="1:66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</row>
    <row r="103" spans="1:66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</row>
    <row r="104" spans="1:66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</row>
    <row r="105" spans="1:66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</row>
    <row r="106" spans="1:66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</row>
    <row r="107" spans="1:66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</row>
    <row r="108" spans="1:66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</row>
    <row r="109" spans="1:66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</row>
    <row r="110" spans="1:66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</row>
    <row r="111" spans="1:66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</row>
    <row r="112" spans="1:66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</row>
    <row r="113" spans="1:66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</row>
    <row r="114" spans="1:66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</row>
    <row r="115" spans="1:66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</row>
    <row r="116" spans="1:66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</row>
    <row r="117" spans="1:66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</row>
    <row r="118" spans="1:66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</row>
    <row r="119" spans="1:66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</row>
    <row r="120" spans="1:66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</row>
    <row r="121" spans="1:66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</row>
    <row r="122" spans="1:66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</row>
    <row r="123" spans="1:66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</row>
    <row r="124" spans="1:66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</row>
    <row r="125" spans="1:66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</row>
    <row r="126" spans="1:66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</row>
    <row r="127" spans="1:66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</row>
    <row r="128" spans="1:66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</row>
    <row r="129" spans="1:66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</row>
    <row r="130" spans="1:66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</row>
    <row r="131" spans="1:66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</row>
    <row r="132" spans="1:66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</row>
    <row r="133" spans="1:66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</row>
    <row r="134" spans="1:66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</row>
    <row r="135" spans="1:66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</row>
    <row r="136" spans="1:66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</row>
    <row r="137" spans="1:66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</row>
    <row r="138" spans="1:66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</row>
    <row r="139" spans="1:66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</row>
    <row r="140" spans="1:66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</row>
    <row r="141" spans="1:66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</row>
    <row r="142" spans="1:66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</row>
    <row r="143" spans="1:66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</row>
    <row r="144" spans="1:66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</row>
    <row r="145" spans="1:66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</row>
    <row r="146" spans="1:66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</row>
    <row r="147" spans="1:66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</row>
    <row r="148" spans="1:66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</row>
    <row r="149" spans="1:66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</row>
    <row r="150" spans="1:66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</row>
    <row r="151" spans="1:66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</row>
    <row r="152" spans="1:66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</row>
    <row r="153" spans="1:66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</row>
    <row r="154" spans="1:66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</row>
    <row r="155" spans="1:66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</row>
    <row r="156" spans="1:66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</row>
    <row r="157" spans="1:66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</row>
    <row r="158" spans="1:66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</row>
    <row r="159" spans="1:66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</row>
    <row r="160" spans="1:66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</row>
    <row r="161" spans="1:66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</row>
    <row r="162" spans="1:66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</row>
    <row r="163" spans="1:66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</row>
    <row r="164" spans="1:66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</row>
    <row r="165" spans="1:66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</row>
    <row r="166" spans="1:66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</row>
    <row r="167" spans="1:66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</row>
    <row r="168" spans="1:66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</row>
    <row r="169" spans="1:66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</row>
    <row r="170" spans="1:66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</row>
    <row r="171" spans="1:66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</row>
    <row r="172" spans="1:66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</row>
    <row r="173" spans="1:66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</row>
    <row r="174" spans="1:66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</row>
    <row r="175" spans="1:66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</row>
    <row r="176" spans="1:66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</row>
    <row r="177" spans="1:66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</row>
    <row r="178" spans="1:66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</row>
    <row r="179" spans="1:66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</row>
    <row r="180" spans="1:66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</row>
    <row r="181" spans="1:66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</row>
    <row r="182" spans="1:66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</row>
    <row r="183" spans="1:66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</row>
    <row r="184" spans="1:66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</row>
    <row r="185" spans="1:66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</row>
    <row r="186" spans="1:66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</row>
    <row r="187" spans="1:66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</row>
    <row r="188" spans="1:66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</row>
    <row r="189" spans="1:66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</row>
    <row r="190" spans="1:66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</row>
    <row r="191" spans="1:66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</row>
    <row r="192" spans="1:66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</row>
    <row r="193" spans="1:66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</row>
    <row r="194" spans="1:66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</row>
    <row r="195" spans="1:66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</row>
    <row r="196" spans="1:66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</row>
    <row r="197" spans="1:66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</row>
    <row r="198" spans="1:66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</row>
    <row r="199" spans="1:66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</row>
    <row r="200" spans="1:66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</row>
    <row r="201" spans="1:66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</row>
    <row r="202" spans="1:66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</row>
    <row r="203" spans="1:66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</row>
    <row r="204" spans="1:66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</row>
    <row r="205" spans="1:66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</row>
    <row r="206" spans="1:66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</row>
    <row r="207" spans="1:66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</row>
    <row r="208" spans="1:66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</row>
    <row r="209" spans="1:66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</row>
    <row r="210" spans="1:66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</row>
    <row r="211" spans="1:66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</row>
    <row r="212" spans="1:66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</row>
    <row r="213" spans="1:66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</row>
    <row r="214" spans="1:66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</row>
    <row r="215" spans="1:66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</row>
    <row r="216" spans="1:66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</row>
    <row r="217" spans="1:66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</row>
    <row r="218" spans="1:66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</row>
    <row r="219" spans="1:66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</row>
    <row r="220" spans="1:66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</row>
    <row r="221" spans="1:66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</row>
    <row r="222" spans="1:66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</row>
    <row r="223" spans="1:66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</row>
    <row r="224" spans="1:66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</row>
    <row r="225" spans="1:66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</row>
    <row r="226" spans="1:66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</row>
    <row r="227" spans="1:66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</row>
    <row r="228" spans="1:66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</row>
    <row r="229" spans="1:66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</row>
    <row r="230" spans="1:66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</row>
    <row r="231" spans="1:66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</row>
    <row r="232" spans="1:66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</row>
    <row r="233" spans="1:66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</row>
    <row r="234" spans="1:66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</row>
    <row r="235" spans="1:66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</row>
    <row r="236" spans="1:66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</row>
    <row r="237" spans="1:66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</row>
    <row r="238" spans="1:66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</row>
    <row r="239" spans="1:66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</row>
    <row r="240" spans="1:66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</row>
    <row r="241" spans="1:66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</row>
    <row r="242" spans="1:66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</row>
    <row r="243" spans="1:66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</row>
    <row r="244" spans="1:66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</row>
    <row r="245" spans="1:66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</row>
    <row r="246" spans="1:66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</row>
    <row r="247" spans="1:66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</row>
    <row r="248" spans="1:66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</row>
    <row r="249" spans="1:66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</row>
    <row r="250" spans="1:66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</row>
    <row r="251" spans="1:66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</row>
    <row r="252" spans="1:66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</row>
    <row r="253" spans="1:66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</row>
    <row r="254" spans="1:66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</row>
  </sheetData>
  <mergeCells count="26">
    <mergeCell ref="B24:E24"/>
    <mergeCell ref="B8:E8"/>
    <mergeCell ref="N8:Q8"/>
    <mergeCell ref="N15:Q15"/>
    <mergeCell ref="N24:Q24"/>
    <mergeCell ref="H24:K24"/>
    <mergeCell ref="AB24:AE24"/>
    <mergeCell ref="V15:Y15"/>
    <mergeCell ref="AH15:AK15"/>
    <mergeCell ref="V24:Y24"/>
    <mergeCell ref="AH24:AK24"/>
    <mergeCell ref="A1:R1"/>
    <mergeCell ref="AB2:AE2"/>
    <mergeCell ref="U1:AL1"/>
    <mergeCell ref="H9:K9"/>
    <mergeCell ref="H15:K15"/>
    <mergeCell ref="AB9:AE9"/>
    <mergeCell ref="AB15:AE15"/>
    <mergeCell ref="V2:Y2"/>
    <mergeCell ref="AH2:AK2"/>
    <mergeCell ref="V8:Y8"/>
    <mergeCell ref="AH8:AK8"/>
    <mergeCell ref="B15:E15"/>
    <mergeCell ref="B2:E2"/>
    <mergeCell ref="N2:Q2"/>
    <mergeCell ref="H2:K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18</xdr:col>
                    <xdr:colOff>38100</xdr:colOff>
                    <xdr:row>0</xdr:row>
                    <xdr:rowOff>9525</xdr:rowOff>
                  </from>
                  <to>
                    <xdr:col>19</xdr:col>
                    <xdr:colOff>752475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A3B90-6B1E-4FDF-AE5D-1A3F841E233A}">
  <sheetPr codeName="Hoja1">
    <tabColor rgb="FF0070C0"/>
  </sheetPr>
  <dimension ref="A1:BG168"/>
  <sheetViews>
    <sheetView showGridLines="0" showRowColHeaders="0" zoomScale="80" zoomScaleNormal="80" workbookViewId="0">
      <selection activeCell="S6" sqref="S6"/>
    </sheetView>
  </sheetViews>
  <sheetFormatPr baseColWidth="10" defaultRowHeight="15" x14ac:dyDescent="0.25"/>
  <cols>
    <col min="1" max="1" width="7.7109375" customWidth="1"/>
    <col min="2" max="5" width="11.7109375" customWidth="1"/>
    <col min="6" max="7" width="7.7109375" customWidth="1"/>
    <col min="8" max="11" width="11.7109375" customWidth="1"/>
    <col min="12" max="13" width="7.7109375" customWidth="1"/>
    <col min="14" max="17" width="11.7109375" customWidth="1"/>
    <col min="18" max="18" width="7.7109375" customWidth="1"/>
    <col min="19" max="20" width="11.7109375" customWidth="1"/>
    <col min="21" max="21" width="7.7109375" customWidth="1"/>
    <col min="22" max="25" width="11.7109375" customWidth="1"/>
    <col min="26" max="27" width="7.7109375" customWidth="1"/>
    <col min="28" max="31" width="11.7109375" customWidth="1"/>
    <col min="32" max="33" width="7.7109375" customWidth="1"/>
    <col min="34" max="37" width="11.7109375" customWidth="1"/>
    <col min="38" max="38" width="7.7109375" customWidth="1"/>
    <col min="39" max="54" width="11.42578125" style="5"/>
  </cols>
  <sheetData>
    <row r="1" spans="1:59" ht="30" customHeight="1" x14ac:dyDescent="0.25">
      <c r="A1" s="232" t="s">
        <v>10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32"/>
      <c r="T1" s="32"/>
      <c r="U1" s="232" t="s">
        <v>27</v>
      </c>
      <c r="V1" s="232"/>
      <c r="W1" s="232"/>
      <c r="X1" s="232"/>
      <c r="Y1" s="232"/>
      <c r="Z1" s="232"/>
      <c r="AA1" s="232"/>
      <c r="AB1" s="232"/>
      <c r="AC1" s="232"/>
      <c r="AD1" s="232"/>
      <c r="AE1" s="232"/>
      <c r="AF1" s="232"/>
      <c r="AG1" s="232"/>
      <c r="AH1" s="232"/>
      <c r="AI1" s="232"/>
      <c r="AJ1" s="232"/>
      <c r="AK1" s="232"/>
      <c r="AL1" s="232"/>
      <c r="BC1" s="5"/>
      <c r="BD1" s="5"/>
      <c r="BE1" s="5"/>
      <c r="BF1" s="5"/>
      <c r="BG1" s="5"/>
    </row>
    <row r="2" spans="1:59" x14ac:dyDescent="0.25">
      <c r="A2" s="1"/>
      <c r="B2" s="235" t="s">
        <v>3</v>
      </c>
      <c r="C2" s="235"/>
      <c r="D2" s="235"/>
      <c r="E2" s="235"/>
      <c r="F2" s="1"/>
      <c r="G2" s="44"/>
      <c r="H2" s="233" t="s">
        <v>49</v>
      </c>
      <c r="I2" s="233"/>
      <c r="J2" s="233"/>
      <c r="K2" s="233"/>
      <c r="L2" s="44"/>
      <c r="M2" s="2"/>
      <c r="N2" s="236" t="s">
        <v>5</v>
      </c>
      <c r="O2" s="236"/>
      <c r="P2" s="236"/>
      <c r="Q2" s="236"/>
      <c r="R2" s="2"/>
      <c r="S2" s="32"/>
      <c r="T2" s="32"/>
      <c r="U2" s="1"/>
      <c r="V2" s="235" t="s">
        <v>3</v>
      </c>
      <c r="W2" s="235"/>
      <c r="X2" s="235"/>
      <c r="Y2" s="235"/>
      <c r="Z2" s="1"/>
      <c r="AA2" s="44"/>
      <c r="AB2" s="233" t="s">
        <v>49</v>
      </c>
      <c r="AC2" s="233"/>
      <c r="AD2" s="233"/>
      <c r="AE2" s="233"/>
      <c r="AF2" s="44"/>
      <c r="AG2" s="2"/>
      <c r="AH2" s="236" t="s">
        <v>5</v>
      </c>
      <c r="AI2" s="236"/>
      <c r="AJ2" s="236"/>
      <c r="AK2" s="236"/>
      <c r="AL2" s="2"/>
      <c r="BC2" s="5"/>
      <c r="BD2" s="5"/>
      <c r="BE2" s="5"/>
      <c r="BF2" s="5"/>
      <c r="BG2" s="5"/>
    </row>
    <row r="3" spans="1:59" x14ac:dyDescent="0.25">
      <c r="A3" s="1"/>
      <c r="B3" s="7"/>
      <c r="C3" s="8"/>
      <c r="D3" s="14" t="s">
        <v>28</v>
      </c>
      <c r="E3" s="15">
        <v>50</v>
      </c>
      <c r="F3" s="1"/>
      <c r="G3" s="44"/>
      <c r="H3" s="7"/>
      <c r="I3" s="8"/>
      <c r="J3" s="14" t="s">
        <v>28</v>
      </c>
      <c r="K3" s="15">
        <v>50</v>
      </c>
      <c r="L3" s="44"/>
      <c r="M3" s="2"/>
      <c r="N3" s="7"/>
      <c r="O3" s="8"/>
      <c r="P3" s="14" t="s">
        <v>28</v>
      </c>
      <c r="Q3" s="15">
        <v>50</v>
      </c>
      <c r="R3" s="2"/>
      <c r="S3" s="32"/>
      <c r="T3" s="32"/>
      <c r="U3" s="1"/>
      <c r="V3" s="7"/>
      <c r="W3" s="8"/>
      <c r="X3" s="14" t="s">
        <v>28</v>
      </c>
      <c r="Y3" s="15">
        <v>50</v>
      </c>
      <c r="Z3" s="1"/>
      <c r="AA3" s="44"/>
      <c r="AB3" s="7"/>
      <c r="AC3" s="8"/>
      <c r="AD3" s="14" t="s">
        <v>28</v>
      </c>
      <c r="AE3" s="15">
        <v>50</v>
      </c>
      <c r="AF3" s="44"/>
      <c r="AG3" s="2"/>
      <c r="AH3" s="7"/>
      <c r="AI3" s="8"/>
      <c r="AJ3" s="14" t="s">
        <v>28</v>
      </c>
      <c r="AK3" s="15">
        <v>50</v>
      </c>
      <c r="AL3" s="2"/>
      <c r="BC3" s="5"/>
      <c r="BD3" s="5"/>
      <c r="BE3" s="5"/>
      <c r="BF3" s="5"/>
      <c r="BG3" s="5"/>
    </row>
    <row r="4" spans="1:59" x14ac:dyDescent="0.25">
      <c r="A4" s="1"/>
      <c r="B4" s="8"/>
      <c r="C4" s="8"/>
      <c r="D4" s="21" t="s">
        <v>29</v>
      </c>
      <c r="E4" s="10">
        <v>2</v>
      </c>
      <c r="F4" s="1"/>
      <c r="G4" s="44"/>
      <c r="H4" s="8"/>
      <c r="I4" s="8"/>
      <c r="J4" s="21" t="s">
        <v>29</v>
      </c>
      <c r="K4" s="10">
        <v>2</v>
      </c>
      <c r="L4" s="44"/>
      <c r="M4" s="2"/>
      <c r="N4" s="8"/>
      <c r="O4" s="8"/>
      <c r="P4" s="21" t="s">
        <v>29</v>
      </c>
      <c r="Q4" s="10">
        <v>3</v>
      </c>
      <c r="R4" s="2"/>
      <c r="S4" s="32"/>
      <c r="T4" s="32"/>
      <c r="U4" s="1"/>
      <c r="V4" s="8"/>
      <c r="W4" s="8"/>
      <c r="X4" s="21" t="s">
        <v>29</v>
      </c>
      <c r="Y4" s="10">
        <v>2</v>
      </c>
      <c r="Z4" s="1"/>
      <c r="AA4" s="44"/>
      <c r="AB4" s="8"/>
      <c r="AC4" s="8"/>
      <c r="AD4" s="21" t="s">
        <v>29</v>
      </c>
      <c r="AE4" s="10">
        <v>2</v>
      </c>
      <c r="AF4" s="44"/>
      <c r="AG4" s="2"/>
      <c r="AH4" s="8"/>
      <c r="AI4" s="8"/>
      <c r="AJ4" s="21" t="s">
        <v>29</v>
      </c>
      <c r="AK4" s="10">
        <v>2</v>
      </c>
      <c r="AL4" s="2"/>
      <c r="BC4" s="5"/>
      <c r="BD4" s="5"/>
      <c r="BE4" s="5"/>
      <c r="BF4" s="5"/>
      <c r="BG4" s="5"/>
    </row>
    <row r="5" spans="1:59" x14ac:dyDescent="0.25">
      <c r="A5" s="1"/>
      <c r="B5" s="8"/>
      <c r="C5" s="8"/>
      <c r="D5" s="9" t="s">
        <v>11</v>
      </c>
      <c r="E5" s="10">
        <v>1</v>
      </c>
      <c r="F5" s="1"/>
      <c r="G5" s="44"/>
      <c r="H5" s="7"/>
      <c r="I5" s="8"/>
      <c r="J5" s="9" t="s">
        <v>11</v>
      </c>
      <c r="K5" s="10">
        <v>0.5</v>
      </c>
      <c r="L5" s="44"/>
      <c r="M5" s="2"/>
      <c r="N5" s="7"/>
      <c r="O5" s="8"/>
      <c r="P5" s="9" t="s">
        <v>11</v>
      </c>
      <c r="Q5" s="10">
        <v>0</v>
      </c>
      <c r="R5" s="2"/>
      <c r="S5" s="32"/>
      <c r="T5" s="32"/>
      <c r="U5" s="1"/>
      <c r="V5" s="8"/>
      <c r="W5" s="8"/>
      <c r="X5" s="9" t="s">
        <v>11</v>
      </c>
      <c r="Y5" s="10">
        <v>1</v>
      </c>
      <c r="Z5" s="1"/>
      <c r="AA5" s="44"/>
      <c r="AB5" s="7"/>
      <c r="AC5" s="8"/>
      <c r="AD5" s="9" t="s">
        <v>11</v>
      </c>
      <c r="AE5" s="10">
        <v>0.5</v>
      </c>
      <c r="AF5" s="44"/>
      <c r="AG5" s="2"/>
      <c r="AH5" s="7"/>
      <c r="AI5" s="8"/>
      <c r="AJ5" s="9" t="s">
        <v>11</v>
      </c>
      <c r="AK5" s="10">
        <v>1</v>
      </c>
      <c r="AL5" s="2"/>
      <c r="BC5" s="5"/>
      <c r="BD5" s="5"/>
      <c r="BE5" s="5"/>
      <c r="BF5" s="5"/>
      <c r="BG5" s="5"/>
    </row>
    <row r="6" spans="1:59" x14ac:dyDescent="0.25">
      <c r="A6" s="1"/>
      <c r="B6" s="5"/>
      <c r="C6" s="5"/>
      <c r="D6" s="12" t="s">
        <v>12</v>
      </c>
      <c r="E6" s="13">
        <v>3</v>
      </c>
      <c r="F6" s="1"/>
      <c r="G6" s="44"/>
      <c r="H6" s="5"/>
      <c r="I6" s="5"/>
      <c r="J6" s="12" t="s">
        <v>12</v>
      </c>
      <c r="K6" s="13">
        <v>0</v>
      </c>
      <c r="L6" s="44"/>
      <c r="M6" s="2"/>
      <c r="N6" s="5"/>
      <c r="O6" s="5"/>
      <c r="P6" s="12" t="s">
        <v>12</v>
      </c>
      <c r="Q6" s="13">
        <v>0</v>
      </c>
      <c r="R6" s="2"/>
      <c r="S6" s="32"/>
      <c r="T6" s="32"/>
      <c r="U6" s="1"/>
      <c r="V6" s="5"/>
      <c r="W6" s="5"/>
      <c r="X6" s="12" t="s">
        <v>12</v>
      </c>
      <c r="Y6" s="13">
        <v>3</v>
      </c>
      <c r="Z6" s="1"/>
      <c r="AA6" s="44"/>
      <c r="AB6" s="5"/>
      <c r="AC6" s="5"/>
      <c r="AD6" s="12" t="s">
        <v>12</v>
      </c>
      <c r="AE6" s="13">
        <v>0</v>
      </c>
      <c r="AF6" s="44"/>
      <c r="AG6" s="2"/>
      <c r="AH6" s="5"/>
      <c r="AI6" s="5"/>
      <c r="AJ6" s="12" t="s">
        <v>12</v>
      </c>
      <c r="AK6" s="13">
        <v>3</v>
      </c>
      <c r="AL6" s="2"/>
      <c r="BC6" s="5"/>
      <c r="BD6" s="5"/>
      <c r="BE6" s="5"/>
      <c r="BF6" s="5"/>
      <c r="BG6" s="5"/>
    </row>
    <row r="7" spans="1:59" x14ac:dyDescent="0.25">
      <c r="A7" s="1"/>
      <c r="B7" s="5"/>
      <c r="C7" s="5"/>
      <c r="D7" s="9" t="s">
        <v>13</v>
      </c>
      <c r="E7" s="10">
        <v>0</v>
      </c>
      <c r="F7" s="1"/>
      <c r="G7" s="44"/>
      <c r="H7" s="5"/>
      <c r="I7" s="5"/>
      <c r="J7" s="9" t="s">
        <v>13</v>
      </c>
      <c r="K7" s="10">
        <v>5</v>
      </c>
      <c r="L7" s="44"/>
      <c r="M7" s="2"/>
      <c r="N7" s="5"/>
      <c r="O7" s="5"/>
      <c r="P7" s="9" t="s">
        <v>13</v>
      </c>
      <c r="Q7" s="10">
        <v>2</v>
      </c>
      <c r="R7" s="2"/>
      <c r="S7" s="32"/>
      <c r="T7" s="32"/>
      <c r="U7" s="1"/>
      <c r="V7" s="5"/>
      <c r="W7" s="5"/>
      <c r="X7" s="9" t="s">
        <v>13</v>
      </c>
      <c r="Y7" s="10">
        <v>0</v>
      </c>
      <c r="Z7" s="1"/>
      <c r="AA7" s="44"/>
      <c r="AB7" s="5"/>
      <c r="AC7" s="5"/>
      <c r="AD7" s="9" t="s">
        <v>13</v>
      </c>
      <c r="AE7" s="10">
        <v>5</v>
      </c>
      <c r="AF7" s="44"/>
      <c r="AG7" s="2"/>
      <c r="AH7" s="5"/>
      <c r="AI7" s="5"/>
      <c r="AJ7" s="9" t="s">
        <v>13</v>
      </c>
      <c r="AK7" s="10">
        <v>0</v>
      </c>
      <c r="AL7" s="2"/>
      <c r="BC7" s="5"/>
      <c r="BD7" s="5"/>
      <c r="BE7" s="5"/>
      <c r="BF7" s="5"/>
      <c r="BG7" s="5"/>
    </row>
    <row r="8" spans="1:59" x14ac:dyDescent="0.25">
      <c r="A8" s="1"/>
      <c r="B8" s="5"/>
      <c r="C8" s="5"/>
      <c r="D8" s="11"/>
      <c r="E8" s="7"/>
      <c r="F8" s="1"/>
      <c r="G8" s="44"/>
      <c r="H8" s="5"/>
      <c r="I8" s="5"/>
      <c r="J8" s="9" t="s">
        <v>46</v>
      </c>
      <c r="K8" s="10">
        <v>2</v>
      </c>
      <c r="L8" s="44"/>
      <c r="M8" s="2"/>
      <c r="N8" s="5"/>
      <c r="O8" s="5"/>
      <c r="P8" s="5"/>
      <c r="Q8" s="5"/>
      <c r="R8" s="2"/>
      <c r="S8" s="26"/>
      <c r="T8" s="26"/>
      <c r="U8" s="1"/>
      <c r="V8" s="5"/>
      <c r="W8" s="5"/>
      <c r="X8" s="11"/>
      <c r="Y8" s="7"/>
      <c r="Z8" s="1"/>
      <c r="AA8" s="44"/>
      <c r="AB8" s="5"/>
      <c r="AC8" s="5"/>
      <c r="AD8" s="9" t="s">
        <v>46</v>
      </c>
      <c r="AE8" s="10">
        <v>2</v>
      </c>
      <c r="AF8" s="44"/>
      <c r="AG8" s="2"/>
      <c r="AH8" s="5"/>
      <c r="AI8" s="5"/>
      <c r="AJ8" s="5"/>
      <c r="AK8" s="5"/>
      <c r="AL8" s="2"/>
      <c r="BC8" s="5"/>
      <c r="BD8" s="5"/>
      <c r="BE8" s="5"/>
      <c r="BF8" s="5"/>
      <c r="BG8" s="5"/>
    </row>
    <row r="9" spans="1:59" ht="15.75" thickBot="1" x14ac:dyDescent="0.3">
      <c r="A9" s="1"/>
      <c r="B9" s="234" t="s">
        <v>6</v>
      </c>
      <c r="C9" s="234"/>
      <c r="D9" s="234"/>
      <c r="E9" s="234"/>
      <c r="F9" s="1"/>
      <c r="G9" s="44"/>
      <c r="H9" s="5"/>
      <c r="I9" s="5"/>
      <c r="J9" s="5"/>
      <c r="K9" s="5"/>
      <c r="L9" s="44"/>
      <c r="M9" s="2"/>
      <c r="N9" s="234" t="s">
        <v>6</v>
      </c>
      <c r="O9" s="234"/>
      <c r="P9" s="234"/>
      <c r="Q9" s="234"/>
      <c r="R9" s="2"/>
      <c r="S9" s="5"/>
      <c r="T9" s="5"/>
      <c r="U9" s="1"/>
      <c r="V9" s="234" t="s">
        <v>6</v>
      </c>
      <c r="W9" s="234"/>
      <c r="X9" s="234"/>
      <c r="Y9" s="234"/>
      <c r="Z9" s="1"/>
      <c r="AA9" s="44"/>
      <c r="AB9" s="5"/>
      <c r="AC9" s="5"/>
      <c r="AD9" s="5"/>
      <c r="AE9" s="5"/>
      <c r="AF9" s="44"/>
      <c r="AG9" s="2"/>
      <c r="AH9" s="234" t="s">
        <v>6</v>
      </c>
      <c r="AI9" s="234"/>
      <c r="AJ9" s="234"/>
      <c r="AK9" s="234"/>
      <c r="AL9" s="2"/>
      <c r="BC9" s="5"/>
      <c r="BD9" s="5"/>
      <c r="BE9" s="5"/>
      <c r="BF9" s="5"/>
      <c r="BG9" s="5"/>
    </row>
    <row r="10" spans="1:59" ht="16.5" thickTop="1" thickBot="1" x14ac:dyDescent="0.3">
      <c r="A10" s="1"/>
      <c r="B10" s="3" t="s">
        <v>1</v>
      </c>
      <c r="C10" s="6">
        <f>E3*E11^(-E4)</f>
        <v>3.913388267920042</v>
      </c>
      <c r="D10" s="5"/>
      <c r="E10" s="5"/>
      <c r="F10" s="1"/>
      <c r="G10" s="44"/>
      <c r="H10" s="234" t="s">
        <v>6</v>
      </c>
      <c r="I10" s="234"/>
      <c r="J10" s="234"/>
      <c r="K10" s="234"/>
      <c r="L10" s="44"/>
      <c r="M10" s="2"/>
      <c r="N10" s="3" t="s">
        <v>1</v>
      </c>
      <c r="O10" s="6">
        <f>Q3*Q11^(-Q4)</f>
        <v>1.8518518518518516</v>
      </c>
      <c r="P10" s="5"/>
      <c r="Q10" s="5"/>
      <c r="R10" s="2"/>
      <c r="S10" s="5"/>
      <c r="T10" s="5"/>
      <c r="U10" s="1"/>
      <c r="V10" s="3" t="s">
        <v>1</v>
      </c>
      <c r="W10" s="6">
        <f>Y3*Y11^(-Y4)</f>
        <v>3.913388267920042</v>
      </c>
      <c r="X10" s="5"/>
      <c r="Y10" s="5"/>
      <c r="Z10" s="1"/>
      <c r="AA10" s="44"/>
      <c r="AB10" s="234" t="s">
        <v>6</v>
      </c>
      <c r="AC10" s="234"/>
      <c r="AD10" s="234"/>
      <c r="AE10" s="234"/>
      <c r="AF10" s="44"/>
      <c r="AG10" s="2"/>
      <c r="AH10" s="3" t="s">
        <v>1</v>
      </c>
      <c r="AI10" s="6">
        <f>AK3*AK11^(-AK4)</f>
        <v>3.532512059411002</v>
      </c>
      <c r="AJ10" s="5"/>
      <c r="AK10" s="5"/>
      <c r="AL10" s="2"/>
      <c r="BC10" s="5"/>
      <c r="BD10" s="5"/>
      <c r="BE10" s="5"/>
      <c r="BF10" s="5"/>
      <c r="BG10" s="5"/>
    </row>
    <row r="11" spans="1:59" ht="15.75" thickTop="1" x14ac:dyDescent="0.25">
      <c r="A11" s="1"/>
      <c r="B11" s="3"/>
      <c r="D11" s="3" t="s">
        <v>0</v>
      </c>
      <c r="E11" s="6">
        <v>3.5744442910407566</v>
      </c>
      <c r="F11" s="1"/>
      <c r="G11" s="44"/>
      <c r="H11" s="3" t="s">
        <v>1</v>
      </c>
      <c r="I11" s="6">
        <f>K11*K8</f>
        <v>1.0639320172571631</v>
      </c>
      <c r="J11" s="3" t="s">
        <v>47</v>
      </c>
      <c r="K11" s="6">
        <v>0.53196600862858157</v>
      </c>
      <c r="L11" s="44"/>
      <c r="M11" s="2"/>
      <c r="N11" s="3" t="s">
        <v>22</v>
      </c>
      <c r="O11" s="6">
        <f>Q11 * (1-(1/Q4))</f>
        <v>2</v>
      </c>
      <c r="P11" s="3" t="s">
        <v>0</v>
      </c>
      <c r="Q11" s="6">
        <v>3</v>
      </c>
      <c r="R11" s="2"/>
      <c r="S11" s="5"/>
      <c r="T11" s="5"/>
      <c r="U11" s="1"/>
      <c r="V11" s="3"/>
      <c r="X11" s="3" t="s">
        <v>0</v>
      </c>
      <c r="Y11" s="6">
        <v>3.5744442910407566</v>
      </c>
      <c r="Z11" s="1"/>
      <c r="AA11" s="44"/>
      <c r="AB11" s="3" t="s">
        <v>1</v>
      </c>
      <c r="AC11" s="6">
        <f>AE11*AE8</f>
        <v>1.0639320174072795</v>
      </c>
      <c r="AD11" s="3" t="s">
        <v>47</v>
      </c>
      <c r="AE11" s="6">
        <v>0.53196600870363975</v>
      </c>
      <c r="AF11" s="44"/>
      <c r="AG11" s="2"/>
      <c r="AH11" s="3" t="s">
        <v>22</v>
      </c>
      <c r="AI11" s="6">
        <f>AK11 * (1-(1/AK4))</f>
        <v>1.8811056157106321</v>
      </c>
      <c r="AJ11" s="3" t="s">
        <v>0</v>
      </c>
      <c r="AK11" s="6">
        <v>3.7622112314212641</v>
      </c>
      <c r="AL11" s="2"/>
      <c r="BC11" s="5"/>
      <c r="BD11" s="5"/>
      <c r="BE11" s="5"/>
      <c r="BF11" s="5"/>
      <c r="BG11" s="5"/>
    </row>
    <row r="12" spans="1:59" x14ac:dyDescent="0.25">
      <c r="A12" s="1"/>
      <c r="B12" s="3" t="s">
        <v>4</v>
      </c>
      <c r="C12" s="6">
        <f>E5*C10^2-E6*C10+E7</f>
        <v>3.5744429317340991</v>
      </c>
      <c r="D12" s="5"/>
      <c r="E12" s="5"/>
      <c r="F12" s="1"/>
      <c r="G12" s="44"/>
      <c r="H12" s="3" t="s">
        <v>22</v>
      </c>
      <c r="I12" s="6">
        <f>K12 * (1-1/(K8*K4))</f>
        <v>5.1414939171656266</v>
      </c>
      <c r="J12" s="3" t="s">
        <v>0</v>
      </c>
      <c r="K12" s="6">
        <f>(I11/K3)^(-1/K4)</f>
        <v>6.8553252228875019</v>
      </c>
      <c r="L12" s="44"/>
      <c r="M12" s="2"/>
      <c r="N12" s="3" t="s">
        <v>4</v>
      </c>
      <c r="O12" s="6">
        <f>Q5*O10^2-Q6*O10+Q7</f>
        <v>2</v>
      </c>
      <c r="P12" s="5"/>
      <c r="Q12" s="5"/>
      <c r="R12" s="2"/>
      <c r="S12" s="5"/>
      <c r="T12" s="5"/>
      <c r="U12" s="1"/>
      <c r="V12" s="3" t="s">
        <v>2</v>
      </c>
      <c r="W12" s="6">
        <f>Y5*W10^2-Y6*W10+Y7</f>
        <v>3.5744429317340991</v>
      </c>
      <c r="X12" s="5"/>
      <c r="Y12" s="5"/>
      <c r="Z12" s="1"/>
      <c r="AA12" s="44"/>
      <c r="AB12" s="3" t="s">
        <v>22</v>
      </c>
      <c r="AC12" s="6">
        <f>AE12 * (1-1/(AE8*AE4))</f>
        <v>5.1414939168029044</v>
      </c>
      <c r="AD12" s="3" t="s">
        <v>0</v>
      </c>
      <c r="AE12" s="6">
        <f>(AC11/AE3)^(-1/AE4)</f>
        <v>6.8553252224038728</v>
      </c>
      <c r="AF12" s="44"/>
      <c r="AG12" s="2"/>
      <c r="AH12" s="3" t="s">
        <v>4</v>
      </c>
      <c r="AI12" s="6">
        <f>AK5*AI10^2-AK6*AI10+AK7</f>
        <v>1.8811052716511512</v>
      </c>
      <c r="AJ12" s="5"/>
      <c r="AK12" s="5"/>
      <c r="AL12" s="2"/>
      <c r="BC12" s="5"/>
      <c r="BD12" s="5"/>
      <c r="BE12" s="5"/>
      <c r="BF12" s="5"/>
      <c r="BG12" s="5"/>
    </row>
    <row r="13" spans="1:59" x14ac:dyDescent="0.25">
      <c r="A13" s="1"/>
      <c r="B13" s="5"/>
      <c r="C13" s="5"/>
      <c r="D13" s="5"/>
      <c r="E13" s="5"/>
      <c r="F13" s="1"/>
      <c r="G13" s="44"/>
      <c r="H13" s="3" t="s">
        <v>4</v>
      </c>
      <c r="I13" s="6">
        <f>K5*K11^2-K6*K11+K7</f>
        <v>5.1414939171681118</v>
      </c>
      <c r="J13" s="5"/>
      <c r="K13" s="5"/>
      <c r="L13" s="44"/>
      <c r="M13" s="2"/>
      <c r="N13" s="5"/>
      <c r="O13" s="5"/>
      <c r="P13" s="5"/>
      <c r="Q13" s="5"/>
      <c r="R13" s="2"/>
      <c r="S13" s="5"/>
      <c r="T13" s="5"/>
      <c r="U13" s="1"/>
      <c r="V13" s="5"/>
      <c r="W13" s="5"/>
      <c r="X13" s="5"/>
      <c r="Y13" s="5"/>
      <c r="Z13" s="1"/>
      <c r="AA13" s="44"/>
      <c r="AB13" s="3" t="s">
        <v>4</v>
      </c>
      <c r="AC13" s="6">
        <f>AE5*AE11^2-AE6*AE11+AE7</f>
        <v>5.1414939172080407</v>
      </c>
      <c r="AD13" s="5"/>
      <c r="AE13" s="5"/>
      <c r="AF13" s="44"/>
      <c r="AG13" s="2"/>
      <c r="AH13" s="5"/>
      <c r="AI13" s="5"/>
      <c r="AJ13" s="5"/>
      <c r="AK13" s="5"/>
      <c r="AL13" s="2"/>
      <c r="BC13" s="5"/>
      <c r="BD13" s="5"/>
      <c r="BE13" s="5"/>
      <c r="BF13" s="5"/>
      <c r="BG13" s="5"/>
    </row>
    <row r="14" spans="1:59" x14ac:dyDescent="0.25">
      <c r="A14" s="1"/>
      <c r="B14" s="5" t="s">
        <v>15</v>
      </c>
      <c r="C14" s="6">
        <f>E11-C12</f>
        <v>1.3593066574557611E-6</v>
      </c>
      <c r="D14" s="5"/>
      <c r="E14" s="5"/>
      <c r="F14" s="1"/>
      <c r="G14" s="44"/>
      <c r="H14" s="5" t="s">
        <v>15</v>
      </c>
      <c r="I14" s="45">
        <f>I13-I12</f>
        <v>2.4851232183209504E-12</v>
      </c>
      <c r="J14" s="5"/>
      <c r="K14" s="5"/>
      <c r="L14" s="44"/>
      <c r="M14" s="2"/>
      <c r="N14" s="5" t="s">
        <v>15</v>
      </c>
      <c r="O14" s="6">
        <f>O11-O12</f>
        <v>0</v>
      </c>
      <c r="P14" s="5"/>
      <c r="Q14" s="5"/>
      <c r="R14" s="2"/>
      <c r="S14" s="5"/>
      <c r="T14" s="5"/>
      <c r="U14" s="1"/>
      <c r="V14" s="5" t="s">
        <v>15</v>
      </c>
      <c r="W14" s="6">
        <f>Y11-W12</f>
        <v>1.3593066574557611E-6</v>
      </c>
      <c r="X14" s="5"/>
      <c r="Y14" s="5"/>
      <c r="Z14" s="1"/>
      <c r="AA14" s="44"/>
      <c r="AB14" s="5" t="s">
        <v>15</v>
      </c>
      <c r="AC14" s="45">
        <f>AC13-AC12</f>
        <v>4.0513636889727422E-10</v>
      </c>
      <c r="AD14" s="5"/>
      <c r="AE14" s="5"/>
      <c r="AF14" s="44"/>
      <c r="AG14" s="2"/>
      <c r="AH14" s="5" t="s">
        <v>15</v>
      </c>
      <c r="AI14" s="6">
        <f>AI11-AI12</f>
        <v>3.440594809056563E-7</v>
      </c>
      <c r="AJ14" s="5"/>
      <c r="AK14" s="5"/>
      <c r="AL14" s="2"/>
      <c r="BC14" s="5"/>
      <c r="BD14" s="5"/>
      <c r="BE14" s="5"/>
      <c r="BF14" s="5"/>
      <c r="BG14" s="5"/>
    </row>
    <row r="15" spans="1:59" x14ac:dyDescent="0.25">
      <c r="A15" s="1"/>
      <c r="B15" s="5"/>
      <c r="C15" s="5"/>
      <c r="D15" s="5"/>
      <c r="E15" s="5"/>
      <c r="F15" s="1"/>
      <c r="G15" s="44"/>
      <c r="H15" s="5"/>
      <c r="J15" s="5"/>
      <c r="K15" s="5"/>
      <c r="L15" s="44"/>
      <c r="M15" s="2"/>
      <c r="N15" s="5"/>
      <c r="O15" s="5"/>
      <c r="P15" s="5"/>
      <c r="Q15" s="5"/>
      <c r="R15" s="2"/>
      <c r="S15" s="5"/>
      <c r="T15" s="5"/>
      <c r="U15" s="1"/>
      <c r="V15" s="5"/>
      <c r="W15" s="5"/>
      <c r="X15" s="5"/>
      <c r="Y15" s="5"/>
      <c r="Z15" s="1"/>
      <c r="AA15" s="44"/>
      <c r="AB15" s="5"/>
      <c r="AD15" s="5"/>
      <c r="AE15" s="5"/>
      <c r="AF15" s="44"/>
      <c r="AG15" s="2"/>
      <c r="AH15" s="5"/>
      <c r="AI15" s="5"/>
      <c r="AJ15" s="5"/>
      <c r="AK15" s="5"/>
      <c r="AL15" s="2"/>
      <c r="BC15" s="5"/>
      <c r="BD15" s="5"/>
      <c r="BE15" s="5"/>
      <c r="BF15" s="5"/>
      <c r="BG15" s="5"/>
    </row>
    <row r="16" spans="1:59" ht="15.75" thickBot="1" x14ac:dyDescent="0.3">
      <c r="A16" s="1"/>
      <c r="B16" s="234" t="s">
        <v>7</v>
      </c>
      <c r="C16" s="234"/>
      <c r="D16" s="234"/>
      <c r="E16" s="234"/>
      <c r="F16" s="1"/>
      <c r="G16" s="44"/>
      <c r="H16" s="234" t="s">
        <v>7</v>
      </c>
      <c r="I16" s="234"/>
      <c r="J16" s="234"/>
      <c r="K16" s="234"/>
      <c r="L16" s="44"/>
      <c r="M16" s="2"/>
      <c r="N16" s="234" t="s">
        <v>7</v>
      </c>
      <c r="O16" s="234"/>
      <c r="P16" s="234"/>
      <c r="Q16" s="234"/>
      <c r="R16" s="2"/>
      <c r="S16" s="5"/>
      <c r="T16" s="5"/>
      <c r="U16" s="1"/>
      <c r="V16" s="234" t="s">
        <v>7</v>
      </c>
      <c r="W16" s="234"/>
      <c r="X16" s="234"/>
      <c r="Y16" s="234"/>
      <c r="Z16" s="1"/>
      <c r="AA16" s="44"/>
      <c r="AB16" s="234" t="s">
        <v>7</v>
      </c>
      <c r="AC16" s="234"/>
      <c r="AD16" s="234"/>
      <c r="AE16" s="234"/>
      <c r="AF16" s="44"/>
      <c r="AG16" s="2"/>
      <c r="AH16" s="234" t="s">
        <v>7</v>
      </c>
      <c r="AI16" s="234"/>
      <c r="AJ16" s="234"/>
      <c r="AK16" s="234"/>
      <c r="AL16" s="2"/>
      <c r="BC16" s="5"/>
      <c r="BD16" s="5"/>
      <c r="BE16" s="5"/>
      <c r="BF16" s="5"/>
      <c r="BG16" s="5"/>
    </row>
    <row r="17" spans="1:59" ht="15.75" thickTop="1" x14ac:dyDescent="0.25">
      <c r="A17" s="1"/>
      <c r="B17" s="5"/>
      <c r="C17" s="5"/>
      <c r="D17" s="5"/>
      <c r="E17" s="5"/>
      <c r="F17" s="1"/>
      <c r="G17" s="44"/>
      <c r="H17" s="5"/>
      <c r="I17" s="5"/>
      <c r="J17" s="5"/>
      <c r="K17" s="5"/>
      <c r="L17" s="44"/>
      <c r="M17" s="2"/>
      <c r="N17" s="5"/>
      <c r="O17" s="5"/>
      <c r="P17" s="5"/>
      <c r="Q17" s="5"/>
      <c r="R17" s="2"/>
      <c r="S17" s="26"/>
      <c r="T17" s="26"/>
      <c r="U17" s="1"/>
      <c r="V17" s="5"/>
      <c r="W17" s="5"/>
      <c r="X17" s="5"/>
      <c r="Y17" s="5"/>
      <c r="Z17" s="1"/>
      <c r="AA17" s="44"/>
      <c r="AB17" s="5"/>
      <c r="AC17" s="5"/>
      <c r="AD17" s="5"/>
      <c r="AE17" s="5"/>
      <c r="AF17" s="44"/>
      <c r="AG17" s="2"/>
      <c r="AH17" s="5"/>
      <c r="AI17" s="5"/>
      <c r="AJ17" s="5"/>
      <c r="AK17" s="5"/>
      <c r="AL17" s="2"/>
      <c r="BC17" s="5"/>
      <c r="BD17" s="5"/>
      <c r="BE17" s="5"/>
      <c r="BF17" s="5"/>
      <c r="BG17" s="5"/>
    </row>
    <row r="18" spans="1:59" x14ac:dyDescent="0.25">
      <c r="A18" s="1"/>
      <c r="B18" s="5"/>
      <c r="C18" s="16" t="s">
        <v>17</v>
      </c>
      <c r="D18" s="60">
        <v>1.5</v>
      </c>
      <c r="E18" s="5"/>
      <c r="F18" s="1"/>
      <c r="G18" s="44"/>
      <c r="H18" s="5"/>
      <c r="I18" s="16" t="s">
        <v>17</v>
      </c>
      <c r="J18" s="59">
        <v>1.5</v>
      </c>
      <c r="K18" s="5"/>
      <c r="L18" s="44"/>
      <c r="M18" s="2"/>
      <c r="N18" s="5"/>
      <c r="O18" s="16" t="s">
        <v>17</v>
      </c>
      <c r="P18" s="60">
        <v>1.5</v>
      </c>
      <c r="Q18" s="5"/>
      <c r="R18" s="2"/>
      <c r="S18" s="5"/>
      <c r="T18" s="5"/>
      <c r="U18" s="1"/>
      <c r="V18" s="5"/>
      <c r="W18" s="16" t="s">
        <v>17</v>
      </c>
      <c r="X18" s="20">
        <v>0.21</v>
      </c>
      <c r="Y18" s="5"/>
      <c r="Z18" s="1"/>
      <c r="AA18" s="44"/>
      <c r="AB18" s="5"/>
      <c r="AC18" s="16" t="s">
        <v>17</v>
      </c>
      <c r="AD18" s="20">
        <v>0.21</v>
      </c>
      <c r="AE18" s="5"/>
      <c r="AF18" s="44"/>
      <c r="AG18" s="2"/>
      <c r="AH18" s="5"/>
      <c r="AI18" s="16" t="s">
        <v>17</v>
      </c>
      <c r="AJ18" s="20">
        <v>0.21</v>
      </c>
      <c r="AK18" s="5"/>
      <c r="AL18" s="2"/>
      <c r="BC18" s="5"/>
      <c r="BD18" s="5"/>
      <c r="BE18" s="5"/>
      <c r="BF18" s="5"/>
      <c r="BG18" s="5"/>
    </row>
    <row r="19" spans="1:59" x14ac:dyDescent="0.25">
      <c r="A19" s="1"/>
      <c r="B19" s="5" t="s">
        <v>16</v>
      </c>
      <c r="C19" s="6">
        <f>E3*E19^(-E4)</f>
        <v>3.6141174507871909</v>
      </c>
      <c r="D19" s="3" t="s">
        <v>8</v>
      </c>
      <c r="E19" s="6">
        <v>3.7194940741965539</v>
      </c>
      <c r="F19" s="1"/>
      <c r="G19" s="44"/>
      <c r="H19" s="3" t="s">
        <v>16</v>
      </c>
      <c r="I19" s="6">
        <f>K8*K19</f>
        <v>0.733492002679489</v>
      </c>
      <c r="J19" s="3" t="s">
        <v>47</v>
      </c>
      <c r="K19" s="6">
        <v>0.3667460013397445</v>
      </c>
      <c r="L19" s="44"/>
      <c r="M19" s="2"/>
      <c r="N19" s="3" t="s">
        <v>16</v>
      </c>
      <c r="O19" s="6">
        <f>Q3*(Q19^(-Q4))</f>
        <v>0.34553503941259045</v>
      </c>
      <c r="P19" s="3" t="s">
        <v>8</v>
      </c>
      <c r="Q19" s="6">
        <v>5.25</v>
      </c>
      <c r="R19" s="2"/>
      <c r="S19" s="5"/>
      <c r="T19" s="5"/>
      <c r="U19" s="1"/>
      <c r="V19" s="5" t="s">
        <v>16</v>
      </c>
      <c r="W19" s="6">
        <f>Y3*Y19^(-Y4)</f>
        <v>3.7915443321757456</v>
      </c>
      <c r="X19" s="3" t="s">
        <v>8</v>
      </c>
      <c r="Y19" s="6">
        <v>3.6314237786892085</v>
      </c>
      <c r="Z19" s="1"/>
      <c r="AA19" s="44"/>
      <c r="AB19" s="3" t="s">
        <v>16</v>
      </c>
      <c r="AC19" s="6">
        <f>AE8*AE19</f>
        <v>0.74737164493417318</v>
      </c>
      <c r="AD19" s="3" t="s">
        <v>47</v>
      </c>
      <c r="AE19" s="6">
        <v>0.37368582246708659</v>
      </c>
      <c r="AF19" s="44"/>
      <c r="AG19" s="2"/>
      <c r="AH19" s="3" t="s">
        <v>16</v>
      </c>
      <c r="AI19" s="6">
        <f>AK3*AK19^(-AK4)</f>
        <v>3.454987645744688</v>
      </c>
      <c r="AJ19" s="3" t="s">
        <v>8</v>
      </c>
      <c r="AK19" s="6">
        <v>3.8041860859794507</v>
      </c>
      <c r="AL19" s="2"/>
      <c r="BC19" s="5"/>
      <c r="BD19" s="5"/>
      <c r="BE19" s="5"/>
      <c r="BF19" s="5"/>
      <c r="BG19" s="5"/>
    </row>
    <row r="20" spans="1:59" x14ac:dyDescent="0.25">
      <c r="A20" s="1"/>
      <c r="B20" s="5"/>
      <c r="C20" s="5"/>
      <c r="D20" s="5"/>
      <c r="E20" s="5"/>
      <c r="F20" s="1"/>
      <c r="G20" s="44"/>
      <c r="H20" s="3" t="s">
        <v>23</v>
      </c>
      <c r="I20" s="6">
        <f>K21 * (1-1/(K8*K4))</f>
        <v>5.0672513147493445</v>
      </c>
      <c r="J20" s="3" t="s">
        <v>8</v>
      </c>
      <c r="K20" s="6">
        <f>(I19/K3)^(-1/K4)</f>
        <v>8.2563350863324594</v>
      </c>
      <c r="L20" s="44"/>
      <c r="M20" s="2"/>
      <c r="N20" s="3" t="s">
        <v>23</v>
      </c>
      <c r="O20" s="6">
        <f>Q19 * (1 - (1/Q4))</f>
        <v>3.5000000000000004</v>
      </c>
      <c r="P20" s="5"/>
      <c r="Q20" s="5"/>
      <c r="R20" s="2"/>
      <c r="S20" s="5"/>
      <c r="T20" s="5"/>
      <c r="U20" s="1"/>
      <c r="V20" s="5"/>
      <c r="W20" s="5"/>
      <c r="X20" s="5"/>
      <c r="Y20" s="5"/>
      <c r="Z20" s="1"/>
      <c r="AA20" s="44"/>
      <c r="AB20" s="3" t="s">
        <v>23</v>
      </c>
      <c r="AC20" s="6">
        <f>AE21 * (1 - 1/(AE8*AE4) )</f>
        <v>5.0698205429852639</v>
      </c>
      <c r="AD20" s="3" t="s">
        <v>8</v>
      </c>
      <c r="AE20" s="6">
        <f>(AC19/AE3)^(-1/AE4)</f>
        <v>8.1793104760162247</v>
      </c>
      <c r="AF20" s="44"/>
      <c r="AG20" s="2"/>
      <c r="AH20" s="3" t="s">
        <v>23</v>
      </c>
      <c r="AI20" s="6">
        <f>(AK19*(1-1/AK4))/(1+AJ18)</f>
        <v>1.571977721479112</v>
      </c>
      <c r="AJ20" s="5"/>
      <c r="AK20" s="5"/>
      <c r="AL20" s="2"/>
      <c r="BC20" s="5"/>
      <c r="BD20" s="5"/>
      <c r="BE20" s="5"/>
      <c r="BF20" s="5"/>
      <c r="BG20" s="5"/>
    </row>
    <row r="21" spans="1:59" x14ac:dyDescent="0.25">
      <c r="A21" s="1"/>
      <c r="B21" s="3" t="s">
        <v>4</v>
      </c>
      <c r="C21" s="6">
        <f>E5*C19^2-E6*C19+E7</f>
        <v>2.2194925957229312</v>
      </c>
      <c r="D21" s="3" t="s">
        <v>9</v>
      </c>
      <c r="E21" s="6">
        <f>E19-D18</f>
        <v>2.2194940741965539</v>
      </c>
      <c r="F21" s="1"/>
      <c r="G21" s="44"/>
      <c r="H21" s="3" t="s">
        <v>4</v>
      </c>
      <c r="I21" s="6">
        <f>K5*K19^2-K6*K19+K7</f>
        <v>5.0672513147493463</v>
      </c>
      <c r="J21" s="3" t="s">
        <v>9</v>
      </c>
      <c r="K21" s="6">
        <f>K20-J18</f>
        <v>6.7563350863324594</v>
      </c>
      <c r="L21" s="44"/>
      <c r="M21" s="2"/>
      <c r="N21" s="3" t="s">
        <v>4</v>
      </c>
      <c r="O21" s="6">
        <f>Q5*(O19^2)-Q6*O19+Q7</f>
        <v>2</v>
      </c>
      <c r="P21" s="3" t="s">
        <v>9</v>
      </c>
      <c r="Q21" s="6">
        <f>Q19-P18</f>
        <v>3.75</v>
      </c>
      <c r="R21" s="2"/>
      <c r="S21" s="5"/>
      <c r="T21" s="5"/>
      <c r="U21" s="1"/>
      <c r="V21" s="3" t="s">
        <v>2</v>
      </c>
      <c r="W21" s="6">
        <f>Y5*W19^2-Y6*W19+Y7</f>
        <v>3.0011754263267854</v>
      </c>
      <c r="X21" s="3" t="s">
        <v>9</v>
      </c>
      <c r="Y21" s="6">
        <f>Y19/(1+X18)</f>
        <v>3.0011766766026517</v>
      </c>
      <c r="Z21" s="1"/>
      <c r="AA21" s="44"/>
      <c r="AB21" s="3" t="s">
        <v>4</v>
      </c>
      <c r="AC21" s="6">
        <f>AE5*AE19^2 - AE6*AE19 + AE7</f>
        <v>5.0698205469564517</v>
      </c>
      <c r="AD21" s="3" t="s">
        <v>9</v>
      </c>
      <c r="AE21" s="6">
        <f>AE20/(1+AD18)</f>
        <v>6.7597607239803512</v>
      </c>
      <c r="AF21" s="44"/>
      <c r="AG21" s="2"/>
      <c r="AH21" s="3" t="s">
        <v>4</v>
      </c>
      <c r="AI21" s="6">
        <f>AK5*AI19^2-AK6*AI19+AK7</f>
        <v>1.5719766950143566</v>
      </c>
      <c r="AJ21" s="3" t="s">
        <v>9</v>
      </c>
      <c r="AK21" s="6">
        <f>AK19/(1+AJ18)</f>
        <v>3.1439554429582239</v>
      </c>
      <c r="AL21" s="2"/>
      <c r="BC21" s="5"/>
      <c r="BD21" s="5"/>
      <c r="BE21" s="5"/>
      <c r="BF21" s="5"/>
      <c r="BG21" s="5"/>
    </row>
    <row r="22" spans="1:59" x14ac:dyDescent="0.25">
      <c r="A22" s="1"/>
      <c r="B22" s="5"/>
      <c r="C22" s="5"/>
      <c r="D22" s="5"/>
      <c r="E22" s="5"/>
      <c r="F22" s="1"/>
      <c r="G22" s="44"/>
      <c r="H22" s="5"/>
      <c r="I22" s="5"/>
      <c r="J22" s="5"/>
      <c r="K22" s="5"/>
      <c r="L22" s="44"/>
      <c r="M22" s="2"/>
      <c r="N22" s="5"/>
      <c r="O22" s="5"/>
      <c r="P22" s="5"/>
      <c r="Q22" s="5"/>
      <c r="R22" s="2"/>
      <c r="S22" s="5"/>
      <c r="T22" s="5"/>
      <c r="U22" s="1"/>
      <c r="V22" s="5"/>
      <c r="W22" s="5"/>
      <c r="X22" s="5"/>
      <c r="Y22" s="5"/>
      <c r="Z22" s="1"/>
      <c r="AA22" s="44"/>
      <c r="AB22" s="5"/>
      <c r="AC22" s="5"/>
      <c r="AD22" s="5"/>
      <c r="AE22" s="5"/>
      <c r="AF22" s="44"/>
      <c r="AG22" s="2"/>
      <c r="AH22" s="5"/>
      <c r="AI22" s="5"/>
      <c r="AJ22" s="5"/>
      <c r="AK22" s="5"/>
      <c r="AL22" s="2"/>
      <c r="BC22" s="5"/>
      <c r="BD22" s="5"/>
      <c r="BE22" s="5"/>
      <c r="BF22" s="5"/>
      <c r="BG22" s="5"/>
    </row>
    <row r="23" spans="1:59" x14ac:dyDescent="0.25">
      <c r="A23" s="1"/>
      <c r="B23" s="5" t="s">
        <v>15</v>
      </c>
      <c r="C23" s="6">
        <f>E21-C21</f>
        <v>1.4784736226403083E-6</v>
      </c>
      <c r="D23" s="5"/>
      <c r="E23" s="5"/>
      <c r="F23" s="1"/>
      <c r="G23" s="44"/>
      <c r="H23" s="5" t="s">
        <v>15</v>
      </c>
      <c r="I23" s="6">
        <f>I21-I20</f>
        <v>0</v>
      </c>
      <c r="J23" s="5"/>
      <c r="K23" s="5"/>
      <c r="L23" s="44"/>
      <c r="M23" s="2"/>
      <c r="N23" s="5" t="s">
        <v>15</v>
      </c>
      <c r="O23" s="6">
        <f>O20-(O21+P18)</f>
        <v>0</v>
      </c>
      <c r="P23" s="5"/>
      <c r="Q23" s="5"/>
      <c r="R23" s="2"/>
      <c r="S23" s="5"/>
      <c r="T23" s="5"/>
      <c r="U23" s="1"/>
      <c r="V23" s="5" t="s">
        <v>15</v>
      </c>
      <c r="W23" s="6">
        <f>Y21-W21</f>
        <v>1.2502758663934799E-6</v>
      </c>
      <c r="X23" s="5"/>
      <c r="Y23" s="5"/>
      <c r="Z23" s="1"/>
      <c r="AA23" s="44"/>
      <c r="AB23" s="5" t="s">
        <v>15</v>
      </c>
      <c r="AC23" s="6">
        <f>AC21-AC20</f>
        <v>3.9711878230264119E-9</v>
      </c>
      <c r="AD23" s="5"/>
      <c r="AE23" s="5"/>
      <c r="AF23" s="44"/>
      <c r="AG23" s="2"/>
      <c r="AH23" s="5" t="s">
        <v>15</v>
      </c>
      <c r="AI23" s="6">
        <f>AI20-AI21</f>
        <v>1.0264647554159012E-6</v>
      </c>
      <c r="AJ23" s="5"/>
      <c r="AK23" s="5"/>
      <c r="AL23" s="2"/>
      <c r="BC23" s="5"/>
      <c r="BD23" s="5"/>
      <c r="BE23" s="5"/>
      <c r="BF23" s="5"/>
      <c r="BG23" s="5"/>
    </row>
    <row r="24" spans="1:59" x14ac:dyDescent="0.25">
      <c r="A24" s="1"/>
      <c r="B24" s="5"/>
      <c r="C24" s="5"/>
      <c r="D24" s="5"/>
      <c r="E24" s="5"/>
      <c r="F24" s="1"/>
      <c r="G24" s="44"/>
      <c r="H24" s="5"/>
      <c r="I24" s="5"/>
      <c r="J24" s="5"/>
      <c r="K24" s="5"/>
      <c r="L24" s="44"/>
      <c r="M24" s="2"/>
      <c r="N24" s="5"/>
      <c r="O24" s="5"/>
      <c r="P24" s="5"/>
      <c r="Q24" s="5"/>
      <c r="R24" s="2"/>
      <c r="S24" s="5"/>
      <c r="T24" s="5"/>
      <c r="U24" s="1"/>
      <c r="V24" s="5"/>
      <c r="W24" s="5"/>
      <c r="X24" s="5"/>
      <c r="Y24" s="5"/>
      <c r="Z24" s="1"/>
      <c r="AA24" s="44"/>
      <c r="AB24" s="5"/>
      <c r="AC24" s="5"/>
      <c r="AD24" s="5"/>
      <c r="AE24" s="5"/>
      <c r="AF24" s="44"/>
      <c r="AG24" s="2"/>
      <c r="AH24" s="5"/>
      <c r="AI24" s="5"/>
      <c r="AJ24" s="5"/>
      <c r="AK24" s="5"/>
      <c r="AL24" s="2"/>
      <c r="BC24" s="5"/>
      <c r="BD24" s="5"/>
      <c r="BE24" s="5"/>
      <c r="BF24" s="5"/>
      <c r="BG24" s="5"/>
    </row>
    <row r="25" spans="1:59" ht="15.75" thickBot="1" x14ac:dyDescent="0.3">
      <c r="A25" s="1"/>
      <c r="B25" s="234" t="s">
        <v>26</v>
      </c>
      <c r="C25" s="234"/>
      <c r="D25" s="234"/>
      <c r="E25" s="234"/>
      <c r="F25" s="1"/>
      <c r="G25" s="44"/>
      <c r="H25" s="234" t="s">
        <v>26</v>
      </c>
      <c r="I25" s="234"/>
      <c r="J25" s="234"/>
      <c r="K25" s="234"/>
      <c r="L25" s="44"/>
      <c r="M25" s="2"/>
      <c r="N25" s="234" t="s">
        <v>26</v>
      </c>
      <c r="O25" s="234"/>
      <c r="P25" s="234"/>
      <c r="Q25" s="234"/>
      <c r="R25" s="2"/>
      <c r="S25" s="5"/>
      <c r="T25" s="5"/>
      <c r="U25" s="1"/>
      <c r="V25" s="234" t="s">
        <v>26</v>
      </c>
      <c r="W25" s="234"/>
      <c r="X25" s="234"/>
      <c r="Y25" s="234"/>
      <c r="Z25" s="1"/>
      <c r="AA25" s="44"/>
      <c r="AB25" s="234" t="s">
        <v>26</v>
      </c>
      <c r="AC25" s="234"/>
      <c r="AD25" s="234"/>
      <c r="AE25" s="234"/>
      <c r="AF25" s="44"/>
      <c r="AG25" s="2"/>
      <c r="AH25" s="234" t="s">
        <v>26</v>
      </c>
      <c r="AI25" s="234"/>
      <c r="AJ25" s="234"/>
      <c r="AK25" s="234"/>
      <c r="AL25" s="2"/>
      <c r="BC25" s="5"/>
      <c r="BD25" s="5"/>
      <c r="BE25" s="5"/>
      <c r="BF25" s="5"/>
      <c r="BG25" s="5"/>
    </row>
    <row r="26" spans="1:59" ht="15.75" thickTop="1" x14ac:dyDescent="0.25">
      <c r="A26" s="1"/>
      <c r="B26" s="5"/>
      <c r="C26" s="3" t="s">
        <v>18</v>
      </c>
      <c r="D26" s="23">
        <f>(E19-E11)/E11</f>
        <v>4.0579673746590619E-2</v>
      </c>
      <c r="E26" s="5"/>
      <c r="F26" s="1"/>
      <c r="G26" s="44"/>
      <c r="H26" s="5"/>
      <c r="I26" s="3" t="s">
        <v>18</v>
      </c>
      <c r="J26" s="23">
        <f>(K20-K12)/K12</f>
        <v>0.20436811061384541</v>
      </c>
      <c r="K26" s="5"/>
      <c r="L26" s="44"/>
      <c r="M26" s="2"/>
      <c r="N26" s="5"/>
      <c r="O26" s="3" t="s">
        <v>18</v>
      </c>
      <c r="P26" s="23">
        <f>(Q19-Q11)/Q11</f>
        <v>0.75</v>
      </c>
      <c r="Q26" s="5"/>
      <c r="R26" s="2"/>
      <c r="S26" s="5"/>
      <c r="T26" s="5"/>
      <c r="U26" s="1"/>
      <c r="V26" s="5"/>
      <c r="W26" s="3" t="s">
        <v>18</v>
      </c>
      <c r="X26" s="23">
        <f>(Y19-Y11)/Y11</f>
        <v>1.5940796109557346E-2</v>
      </c>
      <c r="Y26" s="5"/>
      <c r="Z26" s="1"/>
      <c r="AA26" s="44"/>
      <c r="AB26" s="5"/>
      <c r="AC26" s="3" t="s">
        <v>18</v>
      </c>
      <c r="AD26" s="23">
        <f>(AE20-AE12)/AE12</f>
        <v>0.19313237675222741</v>
      </c>
      <c r="AE26" s="5"/>
      <c r="AF26" s="44"/>
      <c r="AG26" s="2"/>
      <c r="AH26" s="5"/>
      <c r="AI26" s="3" t="s">
        <v>18</v>
      </c>
      <c r="AJ26" s="23">
        <f>(AK19-AK11)/AK11</f>
        <v>1.1156963810968588E-2</v>
      </c>
      <c r="AK26" s="5"/>
      <c r="AL26" s="2"/>
      <c r="BC26" s="5"/>
      <c r="BD26" s="5"/>
      <c r="BE26" s="5"/>
      <c r="BF26" s="5"/>
      <c r="BG26" s="5"/>
    </row>
    <row r="27" spans="1:59" x14ac:dyDescent="0.25">
      <c r="A27" s="1"/>
      <c r="B27" s="5"/>
      <c r="C27" s="3" t="s">
        <v>19</v>
      </c>
      <c r="D27" s="23">
        <f>(C19/C10)-1</f>
        <v>-7.6473581623914044E-2</v>
      </c>
      <c r="E27" s="5"/>
      <c r="F27" s="1"/>
      <c r="G27" s="44"/>
      <c r="H27" s="5"/>
      <c r="I27" s="3" t="s">
        <v>19</v>
      </c>
      <c r="J27" s="23">
        <f>(I19/I11)-1</f>
        <v>-0.31058376777639862</v>
      </c>
      <c r="K27" s="5"/>
      <c r="L27" s="44"/>
      <c r="M27" s="2"/>
      <c r="N27" s="5"/>
      <c r="O27" s="3" t="s">
        <v>19</v>
      </c>
      <c r="P27" s="23">
        <f>(O19/O10)-1</f>
        <v>-0.81341107871720109</v>
      </c>
      <c r="Q27" s="5"/>
      <c r="R27" s="2"/>
      <c r="S27" s="5"/>
      <c r="T27" s="5"/>
      <c r="U27" s="1"/>
      <c r="V27" s="5"/>
      <c r="W27" s="3" t="s">
        <v>19</v>
      </c>
      <c r="X27" s="23">
        <f>(W19/W10)-1</f>
        <v>-3.1135151281336149E-2</v>
      </c>
      <c r="Y27" s="5"/>
      <c r="Z27" s="1"/>
      <c r="AA27" s="44"/>
      <c r="AB27" s="5"/>
      <c r="AC27" s="3" t="s">
        <v>19</v>
      </c>
      <c r="AD27" s="23">
        <f>(AC19/AC11)-1</f>
        <v>-0.29753815778994941</v>
      </c>
      <c r="AE27" s="5"/>
      <c r="AF27" s="44"/>
      <c r="AG27" s="2"/>
      <c r="AH27" s="5"/>
      <c r="AI27" s="3" t="s">
        <v>19</v>
      </c>
      <c r="AJ27" s="23">
        <f>(AI19/AI10)-1</f>
        <v>-2.1945972826838744E-2</v>
      </c>
      <c r="AK27" s="5"/>
      <c r="AL27" s="2"/>
      <c r="BC27" s="5"/>
      <c r="BD27" s="5"/>
      <c r="BE27" s="5"/>
      <c r="BF27" s="5"/>
      <c r="BG27" s="5"/>
    </row>
    <row r="28" spans="1:59" x14ac:dyDescent="0.25">
      <c r="A28" s="1"/>
      <c r="B28" s="5"/>
      <c r="C28" s="3" t="s">
        <v>36</v>
      </c>
      <c r="D28" s="25">
        <f>(E11*C10) - (E5/3*(C10^2) - E6/2*(C10^2) +E7*C10)</f>
        <v>31.855230710969266</v>
      </c>
      <c r="E28" s="5"/>
      <c r="F28" s="1"/>
      <c r="G28" s="44"/>
      <c r="H28" s="5"/>
      <c r="I28" s="3" t="s">
        <v>36</v>
      </c>
      <c r="J28" s="25">
        <f>(K12*K11) - (K5/3*(K11^2) - K6/2*(K11^2) +K7*K11)</f>
        <v>0.93980531447136029</v>
      </c>
      <c r="K28" s="5"/>
      <c r="L28" s="44"/>
      <c r="M28" s="2"/>
      <c r="N28" s="5"/>
      <c r="O28" s="3" t="s">
        <v>36</v>
      </c>
      <c r="P28" s="25">
        <f>(Q11*O10) - (Q5/3*(O10^2) - Q6/2*(O10^2) +Q7*O10)</f>
        <v>1.8518518518518521</v>
      </c>
      <c r="Q28" s="5"/>
      <c r="R28" s="2"/>
      <c r="S28" s="5"/>
      <c r="T28" s="5"/>
      <c r="U28" s="1"/>
      <c r="V28" s="5"/>
      <c r="W28" s="3" t="s">
        <v>36</v>
      </c>
      <c r="X28" s="25">
        <f>(Y11*W10) - (Y5/3*(W10^2) - Y6/2*(W10^2) +Y7*W10)</f>
        <v>31.855230710969266</v>
      </c>
      <c r="Y28" s="5"/>
      <c r="Z28" s="1"/>
      <c r="AA28" s="44"/>
      <c r="AB28" s="5"/>
      <c r="AC28" s="3" t="s">
        <v>36</v>
      </c>
      <c r="AD28" s="25">
        <f>(AE12*AE11) - (AE5/3*(AE11^2) - AE6/2*(AE11^2) +AE7*AE11)</f>
        <v>0.93980531434003423</v>
      </c>
      <c r="AE28" s="5"/>
      <c r="AF28" s="44"/>
      <c r="AG28" s="2"/>
      <c r="AH28" s="5"/>
      <c r="AI28" s="3" t="s">
        <v>36</v>
      </c>
      <c r="AJ28" s="25">
        <f>(AK11*AI10) - (AK5/3*(AI10^2) - AK6/2*(AI10^2) +AK7*AI10)</f>
        <v>27.848471569911982</v>
      </c>
      <c r="AK28" s="5"/>
      <c r="AL28" s="2"/>
      <c r="BC28" s="5"/>
      <c r="BD28" s="5"/>
      <c r="BE28" s="5"/>
      <c r="BF28" s="5"/>
      <c r="BG28" s="5"/>
    </row>
    <row r="29" spans="1:59" x14ac:dyDescent="0.25">
      <c r="A29" s="1"/>
      <c r="B29" s="5"/>
      <c r="C29" s="3" t="s">
        <v>55</v>
      </c>
      <c r="D29" s="25">
        <f>(E21*C19) - (E5/3*(C19^2) - E6/2*(C19^2) +E7*C19)</f>
        <v>23.260331371571112</v>
      </c>
      <c r="E29" s="5"/>
      <c r="F29" s="1"/>
      <c r="G29" s="44"/>
      <c r="H29" s="5"/>
      <c r="I29" s="3" t="s">
        <v>55</v>
      </c>
      <c r="J29" s="25">
        <f>(K21*K19) - (K5/3*(K19^2) - K6/2*(K19^2) +K7*K19)</f>
        <v>0.62171176500867564</v>
      </c>
      <c r="K29" s="5"/>
      <c r="L29" s="44"/>
      <c r="M29" s="2"/>
      <c r="N29" s="5"/>
      <c r="O29" s="3" t="s">
        <v>55</v>
      </c>
      <c r="P29" s="25">
        <f>(Q21*O19) - (Q5/3*(O19^2) - Q6/2*(O19^2) +Q7*O19)</f>
        <v>0.60468631897203329</v>
      </c>
      <c r="Q29" s="5"/>
      <c r="R29" s="2"/>
      <c r="S29" s="5"/>
      <c r="T29" s="5"/>
      <c r="U29" s="1"/>
      <c r="V29" s="5"/>
      <c r="W29" s="3" t="s">
        <v>55</v>
      </c>
      <c r="X29" s="25">
        <f>(Y21*W19) - (Y5/3*(W19^2) - Y6/2*(W19^2) +Y7*W19)</f>
        <v>28.150870911360517</v>
      </c>
      <c r="Y29" s="5"/>
      <c r="Z29" s="1"/>
      <c r="AA29" s="44"/>
      <c r="AB29" s="5"/>
      <c r="AC29" s="3" t="s">
        <v>55</v>
      </c>
      <c r="AD29" s="25">
        <f>(AE21*AE19) - (AE5/3*(AE19^2) - AE6/2*(AE19^2) +AE7*AE19)</f>
        <v>0.63432411783372311</v>
      </c>
      <c r="AE29" s="5"/>
      <c r="AF29" s="44"/>
      <c r="AG29" s="2"/>
      <c r="AH29" s="5"/>
      <c r="AI29" s="3" t="s">
        <v>55</v>
      </c>
      <c r="AJ29" s="25">
        <f>(AK21*AI19) - (AK5/3*(AI19^2) - AK6/2*(AI19^2) +AK7*AI19)</f>
        <v>24.788756785148919</v>
      </c>
      <c r="AK29" s="5"/>
      <c r="AL29" s="2"/>
      <c r="BC29" s="5"/>
      <c r="BD29" s="5"/>
      <c r="BE29" s="5"/>
      <c r="BF29" s="5"/>
      <c r="BG29" s="5"/>
    </row>
    <row r="30" spans="1:59" x14ac:dyDescent="0.25">
      <c r="A30" s="1"/>
      <c r="B30" s="5"/>
      <c r="C30" s="3" t="s">
        <v>34</v>
      </c>
      <c r="D30" s="23">
        <f>D29/D28-1</f>
        <v>-0.26981124128033773</v>
      </c>
      <c r="E30" s="5"/>
      <c r="F30" s="1"/>
      <c r="G30" s="44"/>
      <c r="H30" s="5"/>
      <c r="I30" s="3" t="s">
        <v>34</v>
      </c>
      <c r="J30" s="23">
        <f>J29/J28-1</f>
        <v>-0.33846749381451624</v>
      </c>
      <c r="K30" s="5"/>
      <c r="L30" s="44"/>
      <c r="M30" s="2"/>
      <c r="N30" s="5"/>
      <c r="O30" s="3" t="s">
        <v>34</v>
      </c>
      <c r="P30" s="23">
        <f>P29/P28-1</f>
        <v>-0.67346938775510212</v>
      </c>
      <c r="Q30" s="5"/>
      <c r="R30" s="2"/>
      <c r="S30" s="5"/>
      <c r="T30" s="5"/>
      <c r="U30" s="1"/>
      <c r="V30" s="5"/>
      <c r="W30" s="3" t="s">
        <v>34</v>
      </c>
      <c r="X30" s="23">
        <f>X29/X28-1</f>
        <v>-0.11628733231347033</v>
      </c>
      <c r="Y30" s="5"/>
      <c r="Z30" s="1"/>
      <c r="AA30" s="44"/>
      <c r="AB30" s="5"/>
      <c r="AC30" s="3" t="s">
        <v>34</v>
      </c>
      <c r="AD30" s="23">
        <f>AD29/AD28-1</f>
        <v>-0.32504731761474581</v>
      </c>
      <c r="AE30" s="5"/>
      <c r="AF30" s="44"/>
      <c r="AG30" s="2"/>
      <c r="AH30" s="5"/>
      <c r="AI30" s="3" t="s">
        <v>34</v>
      </c>
      <c r="AJ30" s="23">
        <f>AJ29/AJ28-1</f>
        <v>-0.10987011538790648</v>
      </c>
      <c r="AK30" s="5"/>
      <c r="AL30" s="2"/>
      <c r="BC30" s="5"/>
      <c r="BD30" s="5"/>
      <c r="BE30" s="5"/>
      <c r="BF30" s="5"/>
      <c r="BG30" s="5"/>
    </row>
    <row r="31" spans="1:59" x14ac:dyDescent="0.25">
      <c r="A31" s="1"/>
      <c r="B31" s="5"/>
      <c r="C31" s="3" t="s">
        <v>35</v>
      </c>
      <c r="D31" s="17">
        <f>(E21-C21)/E21</f>
        <v>6.6613091687370632E-7</v>
      </c>
      <c r="E31" s="5"/>
      <c r="F31" s="1"/>
      <c r="G31" s="44"/>
      <c r="H31" s="5"/>
      <c r="I31" s="3" t="s">
        <v>35</v>
      </c>
      <c r="J31" s="17">
        <f>(K21-I21)/K21</f>
        <v>0.24999999999999975</v>
      </c>
      <c r="K31" s="5"/>
      <c r="L31" s="44"/>
      <c r="M31" s="2"/>
      <c r="N31" s="5"/>
      <c r="O31" s="3" t="s">
        <v>35</v>
      </c>
      <c r="P31" s="23">
        <f>(Q21-O21)/Q21</f>
        <v>0.46666666666666667</v>
      </c>
      <c r="Q31" s="5"/>
      <c r="R31" s="2"/>
      <c r="S31" s="5"/>
      <c r="T31" s="5"/>
      <c r="U31" s="1"/>
      <c r="V31" s="5"/>
      <c r="W31" s="3" t="s">
        <v>35</v>
      </c>
      <c r="X31" s="17">
        <f>(Y21-Y21)/Y21</f>
        <v>0</v>
      </c>
      <c r="Y31" s="5"/>
      <c r="Z31" s="1"/>
      <c r="AA31" s="44"/>
      <c r="AB31" s="5"/>
      <c r="AC31" s="3" t="s">
        <v>35</v>
      </c>
      <c r="AD31" s="17">
        <f>(AE21-AC21)/AE21</f>
        <v>0.24999999941252532</v>
      </c>
      <c r="AE31" s="5"/>
      <c r="AF31" s="44"/>
      <c r="AG31" s="2"/>
      <c r="AH31" s="5"/>
      <c r="AI31" s="3" t="s">
        <v>35</v>
      </c>
      <c r="AJ31" s="17">
        <f>(AK21-AI21)/AK21</f>
        <v>0.50000032648832782</v>
      </c>
      <c r="AK31" s="5"/>
      <c r="AL31" s="2"/>
      <c r="BC31" s="5"/>
      <c r="BD31" s="5"/>
      <c r="BE31" s="5"/>
      <c r="BF31" s="5"/>
      <c r="BG31" s="5"/>
    </row>
    <row r="32" spans="1:59" x14ac:dyDescent="0.25">
      <c r="A32" s="1"/>
      <c r="B32" s="5"/>
      <c r="C32" s="3" t="s">
        <v>37</v>
      </c>
      <c r="D32" s="17">
        <f>1/E4</f>
        <v>0.5</v>
      </c>
      <c r="E32" s="5"/>
      <c r="F32" s="1"/>
      <c r="G32" s="44"/>
      <c r="H32" s="5"/>
      <c r="I32" s="3" t="s">
        <v>37</v>
      </c>
      <c r="J32" s="17">
        <f>1/K4</f>
        <v>0.5</v>
      </c>
      <c r="K32" s="5"/>
      <c r="L32" s="44"/>
      <c r="M32" s="2"/>
      <c r="N32" s="5"/>
      <c r="O32" s="3" t="s">
        <v>37</v>
      </c>
      <c r="P32" s="23">
        <f>1/Q4</f>
        <v>0.33333333333333331</v>
      </c>
      <c r="Q32" s="5"/>
      <c r="R32" s="2"/>
      <c r="S32" s="5"/>
      <c r="T32" s="5"/>
      <c r="U32" s="1"/>
      <c r="V32" s="5"/>
      <c r="W32" s="3" t="s">
        <v>37</v>
      </c>
      <c r="X32" s="17">
        <f>1/Y4</f>
        <v>0.5</v>
      </c>
      <c r="Y32" s="5"/>
      <c r="Z32" s="1"/>
      <c r="AA32" s="44"/>
      <c r="AB32" s="5"/>
      <c r="AC32" s="3" t="s">
        <v>37</v>
      </c>
      <c r="AD32" s="17">
        <f>1/AE4</f>
        <v>0.5</v>
      </c>
      <c r="AE32" s="5"/>
      <c r="AF32" s="44"/>
      <c r="AG32" s="2"/>
      <c r="AH32" s="5"/>
      <c r="AI32" s="3" t="s">
        <v>37</v>
      </c>
      <c r="AJ32" s="17">
        <f>1/AK4</f>
        <v>0.5</v>
      </c>
      <c r="AK32" s="5"/>
      <c r="AL32" s="2"/>
      <c r="BC32" s="5"/>
      <c r="BD32" s="5"/>
      <c r="BE32" s="5"/>
      <c r="BF32" s="5"/>
      <c r="BG32" s="5"/>
    </row>
    <row r="33" spans="1:59" x14ac:dyDescent="0.25">
      <c r="A33" s="1"/>
      <c r="B33" s="5"/>
      <c r="C33" s="5"/>
      <c r="D33" s="5"/>
      <c r="E33" s="5"/>
      <c r="F33" s="1"/>
      <c r="G33" s="44"/>
      <c r="H33" s="5"/>
      <c r="I33" s="5"/>
      <c r="J33" s="5"/>
      <c r="K33" s="5"/>
      <c r="L33" s="44"/>
      <c r="M33" s="2"/>
      <c r="N33" s="5"/>
      <c r="O33" s="5"/>
      <c r="P33" s="5"/>
      <c r="Q33" s="5"/>
      <c r="R33" s="2"/>
      <c r="S33" s="5"/>
      <c r="T33" s="5"/>
      <c r="U33" s="1"/>
      <c r="V33" s="5"/>
      <c r="W33" s="5"/>
      <c r="X33" s="5"/>
      <c r="Y33" s="5"/>
      <c r="Z33" s="1"/>
      <c r="AA33" s="44"/>
      <c r="AB33" s="5"/>
      <c r="AC33" s="5"/>
      <c r="AD33" s="5"/>
      <c r="AE33" s="5"/>
      <c r="AF33" s="44"/>
      <c r="AG33" s="2"/>
      <c r="AH33" s="5"/>
      <c r="AI33" s="5"/>
      <c r="AJ33" s="5"/>
      <c r="AK33" s="5"/>
      <c r="AL33" s="2"/>
      <c r="BC33" s="5"/>
      <c r="BD33" s="5"/>
      <c r="BE33" s="5"/>
      <c r="BF33" s="5"/>
      <c r="BG33" s="5"/>
    </row>
    <row r="34" spans="1:59" x14ac:dyDescent="0.25">
      <c r="A34" s="1"/>
      <c r="B34" s="5"/>
      <c r="C34" s="3" t="s">
        <v>31</v>
      </c>
      <c r="D34" s="25">
        <f>(E11*C10)/(E4-1)</f>
        <v>13.988188352892669</v>
      </c>
      <c r="E34" s="5"/>
      <c r="F34" s="1"/>
      <c r="G34" s="44"/>
      <c r="H34" s="5"/>
      <c r="I34" s="3" t="s">
        <v>31</v>
      </c>
      <c r="J34" s="25">
        <f>(I11 * ((K3/K4) - K12))/2</f>
        <v>9.6523502190442336</v>
      </c>
      <c r="K34" s="5"/>
      <c r="L34" s="44"/>
      <c r="M34" s="2"/>
      <c r="N34" s="5"/>
      <c r="O34" s="3" t="s">
        <v>31</v>
      </c>
      <c r="P34" s="25">
        <f>(Q11*O10)/(Q4-1)</f>
        <v>2.7777777777777777</v>
      </c>
      <c r="Q34" s="5"/>
      <c r="R34" s="2"/>
      <c r="S34" s="5"/>
      <c r="T34" s="5"/>
      <c r="U34" s="1"/>
      <c r="V34" s="5"/>
      <c r="W34" s="3" t="s">
        <v>31</v>
      </c>
      <c r="X34" s="25">
        <f>(W10 * ((Y3/Y4) - Y11))/2</f>
        <v>41.923259172554189</v>
      </c>
      <c r="Y34" s="5"/>
      <c r="Z34" s="1"/>
      <c r="AA34" s="44"/>
      <c r="AB34" s="5"/>
      <c r="AC34" s="3" t="s">
        <v>31</v>
      </c>
      <c r="AD34" s="25">
        <f>(AC11 * ((AE3/AE4) - AE12))/2</f>
        <v>9.6523502206634131</v>
      </c>
      <c r="AE34" s="5"/>
      <c r="AF34" s="44"/>
      <c r="AG34" s="2"/>
      <c r="AH34" s="5"/>
      <c r="AI34" s="3" t="s">
        <v>31</v>
      </c>
      <c r="AJ34" s="25">
        <f>(AI10 * ((AK3/AK4) - AK11))/2</f>
        <v>37.511372470113955</v>
      </c>
      <c r="AK34" s="5"/>
      <c r="AL34" s="2"/>
      <c r="BC34" s="5"/>
      <c r="BD34" s="5"/>
      <c r="BE34" s="5"/>
      <c r="BF34" s="5"/>
      <c r="BG34" s="5"/>
    </row>
    <row r="35" spans="1:59" x14ac:dyDescent="0.25">
      <c r="A35" s="1"/>
      <c r="B35" s="5"/>
      <c r="C35" s="3" t="s">
        <v>32</v>
      </c>
      <c r="D35" s="25">
        <f>(E19*C19)/(E4-1)</f>
        <v>13.442688441653312</v>
      </c>
      <c r="E35" s="5"/>
      <c r="F35" s="1"/>
      <c r="G35" s="44"/>
      <c r="H35" s="5"/>
      <c r="I35" s="3" t="s">
        <v>32</v>
      </c>
      <c r="J35" s="25">
        <f>(I19 * ((K3/K4)-K20))/2</f>
        <v>6.1406721548601491</v>
      </c>
      <c r="K35" s="5"/>
      <c r="L35" s="44"/>
      <c r="M35" s="2"/>
      <c r="N35" s="5"/>
      <c r="O35" s="3" t="s">
        <v>32</v>
      </c>
      <c r="P35" s="25">
        <f>(Q19*O19)/(Q4-1)</f>
        <v>0.90702947845804993</v>
      </c>
      <c r="Q35" s="5"/>
      <c r="R35" s="2"/>
      <c r="S35" s="5"/>
      <c r="T35" s="5"/>
      <c r="U35" s="1"/>
      <c r="V35" s="5"/>
      <c r="W35" s="3" t="s">
        <v>32</v>
      </c>
      <c r="X35" s="25">
        <f>(W19 * ((Y3/Y4)-Y19))/2</f>
        <v>40.509952029288172</v>
      </c>
      <c r="Y35" s="5"/>
      <c r="Z35" s="1"/>
      <c r="AA35" s="44"/>
      <c r="AB35" s="5"/>
      <c r="AC35" s="3" t="s">
        <v>32</v>
      </c>
      <c r="AD35" s="25">
        <f>(AC19 * ((AE3/AE4)-AE20))/2</f>
        <v>6.2856531992333835</v>
      </c>
      <c r="AE35" s="5"/>
      <c r="AF35" s="44"/>
      <c r="AG35" s="2"/>
      <c r="AH35" s="5"/>
      <c r="AI35" s="3" t="s">
        <v>32</v>
      </c>
      <c r="AJ35" s="25">
        <f>(AI19 * ((AK3/AK4)-AK19))/2</f>
        <v>36.615637607222176</v>
      </c>
      <c r="AK35" s="5"/>
      <c r="AL35" s="2"/>
      <c r="BC35" s="5"/>
      <c r="BD35" s="5"/>
      <c r="BE35" s="5"/>
      <c r="BF35" s="5"/>
      <c r="BG35" s="5"/>
    </row>
    <row r="36" spans="1:59" x14ac:dyDescent="0.25">
      <c r="A36" s="1"/>
      <c r="B36" s="5"/>
      <c r="C36" s="3" t="s">
        <v>33</v>
      </c>
      <c r="D36" s="23">
        <f>D35/D34-1</f>
        <v>-3.8997180869855153E-2</v>
      </c>
      <c r="E36" s="5"/>
      <c r="F36" s="1"/>
      <c r="G36" s="44"/>
      <c r="H36" s="5"/>
      <c r="I36" s="3" t="s">
        <v>33</v>
      </c>
      <c r="J36" s="23">
        <f>J35/J34-1</f>
        <v>-0.36381585670767425</v>
      </c>
      <c r="K36" s="5"/>
      <c r="L36" s="44"/>
      <c r="M36" s="2"/>
      <c r="N36" s="5"/>
      <c r="O36" s="3" t="s">
        <v>33</v>
      </c>
      <c r="P36" s="23">
        <f>P35/P34-1</f>
        <v>-0.67346938775510201</v>
      </c>
      <c r="Q36" s="5"/>
      <c r="R36" s="2"/>
      <c r="S36" s="5"/>
      <c r="T36" s="5"/>
      <c r="U36" s="1"/>
      <c r="V36" s="5"/>
      <c r="W36" s="3" t="s">
        <v>33</v>
      </c>
      <c r="X36" s="23">
        <f>X35/X34-1</f>
        <v>-3.371176695611644E-2</v>
      </c>
      <c r="Y36" s="5"/>
      <c r="Z36" s="1"/>
      <c r="AA36" s="44"/>
      <c r="AB36" s="5"/>
      <c r="AC36" s="3" t="s">
        <v>33</v>
      </c>
      <c r="AD36" s="23">
        <f>AD35/AD34-1</f>
        <v>-0.34879557252519933</v>
      </c>
      <c r="AE36" s="5"/>
      <c r="AF36" s="44"/>
      <c r="AG36" s="2"/>
      <c r="AH36" s="5"/>
      <c r="AI36" s="3" t="s">
        <v>33</v>
      </c>
      <c r="AJ36" s="23">
        <f>AJ35/AJ34-1</f>
        <v>-2.387902131827957E-2</v>
      </c>
      <c r="AK36" s="5"/>
      <c r="AL36" s="2"/>
      <c r="BC36" s="5"/>
      <c r="BD36" s="5"/>
      <c r="BE36" s="5"/>
      <c r="BF36" s="5"/>
      <c r="BG36" s="5"/>
    </row>
    <row r="37" spans="1:59" x14ac:dyDescent="0.25">
      <c r="A37" s="1"/>
      <c r="B37" s="5"/>
      <c r="C37" s="3" t="s">
        <v>24</v>
      </c>
      <c r="D37" s="57">
        <f>(E19-E21)*C19</f>
        <v>5.4211761761807864</v>
      </c>
      <c r="E37" s="5"/>
      <c r="F37" s="1"/>
      <c r="G37" s="44"/>
      <c r="H37" s="5"/>
      <c r="I37" s="3" t="s">
        <v>24</v>
      </c>
      <c r="J37" s="57">
        <f>(K20-K21)*I19</f>
        <v>1.1002380040192334</v>
      </c>
      <c r="K37" s="5"/>
      <c r="L37" s="44"/>
      <c r="M37" s="2"/>
      <c r="N37" s="5"/>
      <c r="O37" s="3" t="s">
        <v>24</v>
      </c>
      <c r="P37" s="57">
        <f>(Q19-Q21)*O19</f>
        <v>0.51830255911888568</v>
      </c>
      <c r="Q37" s="5"/>
      <c r="R37" s="2"/>
      <c r="S37" s="5"/>
      <c r="T37" s="5"/>
      <c r="U37" s="1"/>
      <c r="V37" s="5"/>
      <c r="W37" s="3" t="s">
        <v>24</v>
      </c>
      <c r="X37" s="57">
        <f>(Y19-Y21)*W19</f>
        <v>2.3896098277864728</v>
      </c>
      <c r="Y37" s="5"/>
      <c r="Z37" s="1"/>
      <c r="AA37" s="44"/>
      <c r="AB37" s="5"/>
      <c r="AC37" s="3" t="s">
        <v>24</v>
      </c>
      <c r="AD37" s="57">
        <f>(AE20-AE21)*AC19</f>
        <v>1.0609312332449485</v>
      </c>
      <c r="AE37" s="5"/>
      <c r="AF37" s="44"/>
      <c r="AG37" s="2"/>
      <c r="AH37" s="5"/>
      <c r="AI37" s="3" t="s">
        <v>24</v>
      </c>
      <c r="AJ37" s="57">
        <f>(AK19-AK21)*AI19</f>
        <v>2.28108871498041</v>
      </c>
      <c r="AK37" s="5"/>
      <c r="AL37" s="2"/>
      <c r="BC37" s="5"/>
      <c r="BD37" s="5"/>
      <c r="BE37" s="5"/>
      <c r="BF37" s="5"/>
      <c r="BG37" s="5"/>
    </row>
    <row r="38" spans="1:59" x14ac:dyDescent="0.25">
      <c r="A38" s="1"/>
      <c r="B38" s="5"/>
      <c r="C38" s="3" t="s">
        <v>25</v>
      </c>
      <c r="D38" s="58">
        <f>0.5*(C10-C19)*(E19-E21)</f>
        <v>0.22445311284963831</v>
      </c>
      <c r="E38" s="5"/>
      <c r="F38" s="1"/>
      <c r="G38" s="44"/>
      <c r="H38" s="5"/>
      <c r="I38" s="3" t="s">
        <v>25</v>
      </c>
      <c r="J38" s="58">
        <f>0.5*(I11-I19)*(K20-K21)</f>
        <v>0.2478300109332556</v>
      </c>
      <c r="K38" s="5"/>
      <c r="L38" s="44"/>
      <c r="M38" s="2"/>
      <c r="N38" s="5"/>
      <c r="O38" s="3" t="s">
        <v>25</v>
      </c>
      <c r="P38" s="58">
        <f>0.5*(O10-O19)*(Q19-Q21)</f>
        <v>1.129737609329446</v>
      </c>
      <c r="Q38" s="5"/>
      <c r="R38" s="2"/>
      <c r="S38" s="5"/>
      <c r="T38" s="5"/>
      <c r="U38" s="1"/>
      <c r="V38" s="5"/>
      <c r="W38" s="3" t="s">
        <v>25</v>
      </c>
      <c r="X38" s="58">
        <f>0.5*(W10-W19)*(Y19-Y21)</f>
        <v>3.8395893704831721E-2</v>
      </c>
      <c r="Y38" s="5"/>
      <c r="Z38" s="1"/>
      <c r="AA38" s="44"/>
      <c r="AB38" s="5"/>
      <c r="AC38" s="3" t="s">
        <v>25</v>
      </c>
      <c r="AD38" s="58">
        <f>0.5*(AC11-AC19)*(AE20-AE21)</f>
        <v>0.22468659912429093</v>
      </c>
      <c r="AE38" s="5"/>
      <c r="AF38" s="44"/>
      <c r="AG38" s="2"/>
      <c r="AH38" s="5"/>
      <c r="AI38" s="3" t="s">
        <v>25</v>
      </c>
      <c r="AJ38" s="58">
        <f>0.5*(AI10-AI19)*(AK19-AK21)</f>
        <v>2.5591996742377044E-2</v>
      </c>
      <c r="AK38" s="5"/>
      <c r="AL38" s="2"/>
      <c r="BC38" s="5"/>
      <c r="BD38" s="5"/>
      <c r="BE38" s="5"/>
      <c r="BF38" s="5"/>
      <c r="BG38" s="5"/>
    </row>
    <row r="39" spans="1:59" x14ac:dyDescent="0.25">
      <c r="A39" s="1"/>
      <c r="B39" s="5"/>
      <c r="C39" s="3" t="s">
        <v>30</v>
      </c>
      <c r="D39" s="57">
        <f>D38/D37</f>
        <v>4.1403028707280513E-2</v>
      </c>
      <c r="E39" s="5"/>
      <c r="F39" s="1"/>
      <c r="G39" s="44"/>
      <c r="H39" s="5"/>
      <c r="I39" s="3" t="s">
        <v>30</v>
      </c>
      <c r="J39" s="57">
        <f>J38/J37</f>
        <v>0.22525127293178218</v>
      </c>
      <c r="K39" s="5"/>
      <c r="L39" s="44"/>
      <c r="M39" s="2"/>
      <c r="N39" s="5"/>
      <c r="O39" s="3" t="s">
        <v>30</v>
      </c>
      <c r="P39" s="57">
        <f>P38/P37</f>
        <v>2.1796874999999996</v>
      </c>
      <c r="Q39" s="5"/>
      <c r="R39" s="2"/>
      <c r="S39" s="5"/>
      <c r="T39" s="5"/>
      <c r="U39" s="1"/>
      <c r="V39" s="5"/>
      <c r="W39" s="3" t="s">
        <v>30</v>
      </c>
      <c r="X39" s="57">
        <f>X38/X37</f>
        <v>1.6067850599860625E-2</v>
      </c>
      <c r="Y39" s="5"/>
      <c r="Z39" s="1"/>
      <c r="AA39" s="44"/>
      <c r="AB39" s="5"/>
      <c r="AC39" s="3" t="s">
        <v>30</v>
      </c>
      <c r="AD39" s="57">
        <f>AD38/AD37</f>
        <v>0.21178243422720983</v>
      </c>
      <c r="AE39" s="5"/>
      <c r="AF39" s="44"/>
      <c r="AG39" s="2"/>
      <c r="AH39" s="5"/>
      <c r="AI39" s="3" t="s">
        <v>30</v>
      </c>
      <c r="AJ39" s="57">
        <f>AJ38/AJ37</f>
        <v>1.1219202731708235E-2</v>
      </c>
      <c r="AK39" s="5"/>
      <c r="AL39" s="2"/>
      <c r="BC39" s="5"/>
      <c r="BD39" s="5"/>
      <c r="BE39" s="5"/>
      <c r="BF39" s="5"/>
      <c r="BG39" s="5"/>
    </row>
    <row r="40" spans="1:59" x14ac:dyDescent="0.25">
      <c r="A40" s="1"/>
      <c r="B40" s="5"/>
      <c r="C40" s="3" t="s">
        <v>20</v>
      </c>
      <c r="D40" s="56">
        <f>E19-E11</f>
        <v>0.14504978315579731</v>
      </c>
      <c r="E40" s="5"/>
      <c r="F40" s="1"/>
      <c r="G40" s="44"/>
      <c r="H40" s="5"/>
      <c r="I40" s="3" t="s">
        <v>20</v>
      </c>
      <c r="J40" s="56">
        <f>K20-K12</f>
        <v>1.4010098634449575</v>
      </c>
      <c r="K40" s="5"/>
      <c r="L40" s="44"/>
      <c r="M40" s="2"/>
      <c r="N40" s="5"/>
      <c r="O40" s="3" t="s">
        <v>20</v>
      </c>
      <c r="P40" s="56">
        <f>Q19-Q11</f>
        <v>2.25</v>
      </c>
      <c r="Q40" s="5"/>
      <c r="R40" s="2"/>
      <c r="S40" s="5"/>
      <c r="T40" s="5"/>
      <c r="U40" s="1"/>
      <c r="V40" s="5"/>
      <c r="W40" s="3" t="s">
        <v>20</v>
      </c>
      <c r="X40" s="56">
        <f>Y19-Y11</f>
        <v>5.6979487648451954E-2</v>
      </c>
      <c r="Y40" s="5"/>
      <c r="Z40" s="1"/>
      <c r="AA40" s="44"/>
      <c r="AB40" s="5"/>
      <c r="AC40" s="3" t="s">
        <v>20</v>
      </c>
      <c r="AD40" s="56">
        <f>AE20-AE12</f>
        <v>1.323985253612352</v>
      </c>
      <c r="AE40" s="5"/>
      <c r="AF40" s="44"/>
      <c r="AG40" s="2"/>
      <c r="AH40" s="5"/>
      <c r="AI40" s="3" t="s">
        <v>20</v>
      </c>
      <c r="AJ40" s="56">
        <f>AK19-AK11</f>
        <v>4.1974854558186614E-2</v>
      </c>
      <c r="AK40" s="5"/>
      <c r="AL40" s="2"/>
      <c r="BC40" s="5"/>
      <c r="BD40" s="5"/>
      <c r="BE40" s="5"/>
      <c r="BF40" s="5"/>
      <c r="BG40" s="5"/>
    </row>
    <row r="41" spans="1:59" x14ac:dyDescent="0.25">
      <c r="A41" s="1"/>
      <c r="B41" s="5"/>
      <c r="C41" s="3" t="s">
        <v>21</v>
      </c>
      <c r="D41" s="56">
        <f>E11-E21</f>
        <v>1.3549502168442027</v>
      </c>
      <c r="E41" s="5"/>
      <c r="F41" s="1"/>
      <c r="G41" s="44"/>
      <c r="H41" s="5"/>
      <c r="I41" s="3" t="s">
        <v>21</v>
      </c>
      <c r="J41" s="56">
        <f>K12-K21</f>
        <v>9.8990136555042518E-2</v>
      </c>
      <c r="K41" s="5"/>
      <c r="L41" s="44"/>
      <c r="M41" s="2"/>
      <c r="N41" s="5"/>
      <c r="O41" s="3" t="s">
        <v>21</v>
      </c>
      <c r="P41" s="56">
        <f>Q11-Q21</f>
        <v>-0.75</v>
      </c>
      <c r="Q41" s="5"/>
      <c r="R41" s="2"/>
      <c r="S41" s="5"/>
      <c r="T41" s="5"/>
      <c r="U41" s="1"/>
      <c r="V41" s="5"/>
      <c r="W41" s="3" t="s">
        <v>21</v>
      </c>
      <c r="X41" s="56">
        <f>Y11-Y21</f>
        <v>0.57326761443810481</v>
      </c>
      <c r="Y41" s="5"/>
      <c r="Z41" s="1"/>
      <c r="AA41" s="44"/>
      <c r="AB41" s="5"/>
      <c r="AC41" s="3" t="s">
        <v>21</v>
      </c>
      <c r="AD41" s="56">
        <f>AE12-AE21</f>
        <v>9.5564498423521549E-2</v>
      </c>
      <c r="AE41" s="5"/>
      <c r="AF41" s="44"/>
      <c r="AG41" s="2"/>
      <c r="AH41" s="5"/>
      <c r="AI41" s="3" t="s">
        <v>21</v>
      </c>
      <c r="AJ41" s="56">
        <f>AK11-AK21</f>
        <v>0.61825578846304019</v>
      </c>
      <c r="AK41" s="5"/>
      <c r="AL41" s="2"/>
      <c r="BC41" s="5"/>
      <c r="BD41" s="5"/>
      <c r="BE41" s="5"/>
      <c r="BF41" s="5"/>
      <c r="BG41" s="5"/>
    </row>
    <row r="42" spans="1:59" x14ac:dyDescent="0.25">
      <c r="A42" s="1"/>
      <c r="B42" s="1"/>
      <c r="C42" s="1"/>
      <c r="D42" s="1"/>
      <c r="E42" s="1"/>
      <c r="F42" s="1"/>
      <c r="G42" s="44"/>
      <c r="H42" s="44"/>
      <c r="I42" s="44"/>
      <c r="J42" s="44"/>
      <c r="K42" s="44"/>
      <c r="L42" s="44"/>
      <c r="M42" s="2"/>
      <c r="N42" s="2"/>
      <c r="O42" s="2"/>
      <c r="P42" s="2"/>
      <c r="Q42" s="2"/>
      <c r="R42" s="2"/>
      <c r="S42" s="5"/>
      <c r="T42" s="5"/>
      <c r="U42" s="1"/>
      <c r="V42" s="1"/>
      <c r="W42" s="1"/>
      <c r="X42" s="1"/>
      <c r="Y42" s="1"/>
      <c r="Z42" s="1"/>
      <c r="AA42" s="44"/>
      <c r="AB42" s="44"/>
      <c r="AC42" s="44"/>
      <c r="AD42" s="44"/>
      <c r="AE42" s="44"/>
      <c r="AF42" s="44"/>
      <c r="AG42" s="2"/>
      <c r="AH42" s="2"/>
      <c r="AI42" s="2"/>
      <c r="AJ42" s="2"/>
      <c r="AK42" s="2"/>
      <c r="AL42" s="2"/>
      <c r="BC42" s="5"/>
      <c r="BD42" s="5"/>
      <c r="BE42" s="5"/>
      <c r="BF42" s="5"/>
      <c r="BG42" s="5"/>
    </row>
    <row r="43" spans="1:59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BC43" s="5"/>
      <c r="BD43" s="5"/>
      <c r="BE43" s="5"/>
      <c r="BF43" s="5"/>
      <c r="BG43" s="5"/>
    </row>
    <row r="44" spans="1:59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BC44" s="5"/>
      <c r="BD44" s="5"/>
      <c r="BE44" s="5"/>
      <c r="BF44" s="5"/>
      <c r="BG44" s="5"/>
    </row>
    <row r="45" spans="1:59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BC45" s="5"/>
      <c r="BD45" s="5"/>
      <c r="BE45" s="5"/>
      <c r="BF45" s="5"/>
      <c r="BG45" s="5"/>
    </row>
    <row r="46" spans="1:59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BC46" s="5"/>
      <c r="BD46" s="5"/>
      <c r="BE46" s="5"/>
      <c r="BF46" s="5"/>
      <c r="BG46" s="5"/>
    </row>
    <row r="47" spans="1:59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BC47" s="5"/>
      <c r="BD47" s="5"/>
      <c r="BE47" s="5"/>
      <c r="BF47" s="5"/>
      <c r="BG47" s="5"/>
    </row>
    <row r="48" spans="1:59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BC48" s="5"/>
      <c r="BD48" s="5"/>
      <c r="BE48" s="5"/>
      <c r="BF48" s="5"/>
      <c r="BG48" s="5"/>
    </row>
    <row r="49" spans="1:59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BC49" s="5"/>
      <c r="BD49" s="5"/>
      <c r="BE49" s="5"/>
      <c r="BF49" s="5"/>
      <c r="BG49" s="5"/>
    </row>
    <row r="50" spans="1:59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BC50" s="5"/>
      <c r="BD50" s="5"/>
      <c r="BE50" s="5"/>
      <c r="BF50" s="5"/>
      <c r="BG50" s="5"/>
    </row>
    <row r="51" spans="1:59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BC51" s="5"/>
      <c r="BD51" s="5"/>
      <c r="BE51" s="5"/>
      <c r="BF51" s="5"/>
      <c r="BG51" s="5"/>
    </row>
    <row r="52" spans="1:59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BC52" s="5"/>
      <c r="BD52" s="5"/>
      <c r="BE52" s="5"/>
      <c r="BF52" s="5"/>
      <c r="BG52" s="5"/>
    </row>
    <row r="53" spans="1:59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BC53" s="5"/>
      <c r="BD53" s="5"/>
      <c r="BE53" s="5"/>
      <c r="BF53" s="5"/>
      <c r="BG53" s="5"/>
    </row>
    <row r="54" spans="1:59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BC54" s="5"/>
      <c r="BD54" s="5"/>
      <c r="BE54" s="5"/>
      <c r="BF54" s="5"/>
      <c r="BG54" s="5"/>
    </row>
    <row r="55" spans="1:59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BC55" s="5"/>
      <c r="BD55" s="5"/>
      <c r="BE55" s="5"/>
      <c r="BF55" s="5"/>
      <c r="BG55" s="5"/>
    </row>
    <row r="56" spans="1:59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BC56" s="5"/>
      <c r="BD56" s="5"/>
      <c r="BE56" s="5"/>
      <c r="BF56" s="5"/>
      <c r="BG56" s="5"/>
    </row>
    <row r="57" spans="1:59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BC57" s="5"/>
      <c r="BD57" s="5"/>
      <c r="BE57" s="5"/>
      <c r="BF57" s="5"/>
      <c r="BG57" s="5"/>
    </row>
    <row r="58" spans="1:59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BC58" s="5"/>
      <c r="BD58" s="5"/>
      <c r="BE58" s="5"/>
      <c r="BF58" s="5"/>
      <c r="BG58" s="5"/>
    </row>
    <row r="59" spans="1:59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BC59" s="5"/>
      <c r="BD59" s="5"/>
      <c r="BE59" s="5"/>
      <c r="BF59" s="5"/>
      <c r="BG59" s="5"/>
    </row>
    <row r="60" spans="1:59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BC60" s="5"/>
      <c r="BD60" s="5"/>
      <c r="BE60" s="5"/>
      <c r="BF60" s="5"/>
      <c r="BG60" s="5"/>
    </row>
    <row r="61" spans="1:59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BC61" s="5"/>
      <c r="BD61" s="5"/>
      <c r="BE61" s="5"/>
      <c r="BF61" s="5"/>
      <c r="BG61" s="5"/>
    </row>
    <row r="62" spans="1:59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BC62" s="5"/>
      <c r="BD62" s="5"/>
      <c r="BE62" s="5"/>
      <c r="BF62" s="5"/>
      <c r="BG62" s="5"/>
    </row>
    <row r="63" spans="1:59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BC63" s="5"/>
      <c r="BD63" s="5"/>
      <c r="BE63" s="5"/>
      <c r="BF63" s="5"/>
      <c r="BG63" s="5"/>
    </row>
    <row r="64" spans="1:59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BC64" s="5"/>
      <c r="BD64" s="5"/>
      <c r="BE64" s="5"/>
      <c r="BF64" s="5"/>
      <c r="BG64" s="5"/>
    </row>
    <row r="65" spans="1:59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BC65" s="5"/>
      <c r="BD65" s="5"/>
      <c r="BE65" s="5"/>
      <c r="BF65" s="5"/>
      <c r="BG65" s="5"/>
    </row>
    <row r="66" spans="1:59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BC66" s="5"/>
      <c r="BD66" s="5"/>
      <c r="BE66" s="5"/>
      <c r="BF66" s="5"/>
      <c r="BG66" s="5"/>
    </row>
    <row r="67" spans="1:59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BC67" s="5"/>
      <c r="BD67" s="5"/>
      <c r="BE67" s="5"/>
      <c r="BF67" s="5"/>
      <c r="BG67" s="5"/>
    </row>
    <row r="68" spans="1:59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BC68" s="5"/>
      <c r="BD68" s="5"/>
      <c r="BE68" s="5"/>
      <c r="BF68" s="5"/>
      <c r="BG68" s="5"/>
    </row>
    <row r="69" spans="1:59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BC69" s="5"/>
      <c r="BD69" s="5"/>
      <c r="BE69" s="5"/>
      <c r="BF69" s="5"/>
      <c r="BG69" s="5"/>
    </row>
    <row r="70" spans="1:59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BC70" s="5"/>
      <c r="BD70" s="5"/>
      <c r="BE70" s="5"/>
      <c r="BF70" s="5"/>
      <c r="BG70" s="5"/>
    </row>
    <row r="71" spans="1:59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BC71" s="5"/>
      <c r="BD71" s="5"/>
      <c r="BE71" s="5"/>
      <c r="BF71" s="5"/>
      <c r="BG71" s="5"/>
    </row>
    <row r="72" spans="1:59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BC72" s="5"/>
      <c r="BD72" s="5"/>
      <c r="BE72" s="5"/>
      <c r="BF72" s="5"/>
      <c r="BG72" s="5"/>
    </row>
    <row r="73" spans="1:59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BC73" s="5"/>
      <c r="BD73" s="5"/>
      <c r="BE73" s="5"/>
      <c r="BF73" s="5"/>
      <c r="BG73" s="5"/>
    </row>
    <row r="74" spans="1:59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BC74" s="5"/>
      <c r="BD74" s="5"/>
      <c r="BE74" s="5"/>
      <c r="BF74" s="5"/>
      <c r="BG74" s="5"/>
    </row>
    <row r="75" spans="1:59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BC75" s="5"/>
      <c r="BD75" s="5"/>
      <c r="BE75" s="5"/>
      <c r="BF75" s="5"/>
      <c r="BG75" s="5"/>
    </row>
    <row r="76" spans="1:59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BC76" s="5"/>
      <c r="BD76" s="5"/>
      <c r="BE76" s="5"/>
      <c r="BF76" s="5"/>
      <c r="BG76" s="5"/>
    </row>
    <row r="77" spans="1:59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BC77" s="5"/>
      <c r="BD77" s="5"/>
      <c r="BE77" s="5"/>
      <c r="BF77" s="5"/>
      <c r="BG77" s="5"/>
    </row>
    <row r="78" spans="1:59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BC78" s="5"/>
      <c r="BD78" s="5"/>
      <c r="BE78" s="5"/>
      <c r="BF78" s="5"/>
      <c r="BG78" s="5"/>
    </row>
    <row r="79" spans="1:59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BC79" s="5"/>
      <c r="BD79" s="5"/>
      <c r="BE79" s="5"/>
      <c r="BF79" s="5"/>
      <c r="BG79" s="5"/>
    </row>
    <row r="80" spans="1:59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BC80" s="5"/>
      <c r="BD80" s="5"/>
      <c r="BE80" s="5"/>
      <c r="BF80" s="5"/>
      <c r="BG80" s="5"/>
    </row>
    <row r="81" spans="1:59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BC81" s="5"/>
      <c r="BD81" s="5"/>
      <c r="BE81" s="5"/>
      <c r="BF81" s="5"/>
      <c r="BG81" s="5"/>
    </row>
    <row r="82" spans="1:59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BC82" s="5"/>
      <c r="BD82" s="5"/>
      <c r="BE82" s="5"/>
      <c r="BF82" s="5"/>
      <c r="BG82" s="5"/>
    </row>
    <row r="83" spans="1:59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BC83" s="5"/>
      <c r="BD83" s="5"/>
      <c r="BE83" s="5"/>
      <c r="BF83" s="5"/>
      <c r="BG83" s="5"/>
    </row>
    <row r="84" spans="1:59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BC84" s="5"/>
      <c r="BD84" s="5"/>
      <c r="BE84" s="5"/>
      <c r="BF84" s="5"/>
      <c r="BG84" s="5"/>
    </row>
    <row r="85" spans="1:59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BC85" s="5"/>
      <c r="BD85" s="5"/>
      <c r="BE85" s="5"/>
      <c r="BF85" s="5"/>
      <c r="BG85" s="5"/>
    </row>
    <row r="86" spans="1:59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BC86" s="5"/>
      <c r="BD86" s="5"/>
      <c r="BE86" s="5"/>
      <c r="BF86" s="5"/>
      <c r="BG86" s="5"/>
    </row>
    <row r="87" spans="1:59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BC87" s="5"/>
      <c r="BD87" s="5"/>
      <c r="BE87" s="5"/>
      <c r="BF87" s="5"/>
      <c r="BG87" s="5"/>
    </row>
    <row r="88" spans="1:59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BC88" s="5"/>
      <c r="BD88" s="5"/>
      <c r="BE88" s="5"/>
      <c r="BF88" s="5"/>
      <c r="BG88" s="5"/>
    </row>
    <row r="89" spans="1:59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BC89" s="5"/>
      <c r="BD89" s="5"/>
      <c r="BE89" s="5"/>
      <c r="BF89" s="5"/>
      <c r="BG89" s="5"/>
    </row>
    <row r="90" spans="1:59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BC90" s="5"/>
      <c r="BD90" s="5"/>
      <c r="BE90" s="5"/>
      <c r="BF90" s="5"/>
      <c r="BG90" s="5"/>
    </row>
    <row r="91" spans="1:59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BC91" s="5"/>
      <c r="BD91" s="5"/>
      <c r="BE91" s="5"/>
      <c r="BF91" s="5"/>
      <c r="BG91" s="5"/>
    </row>
    <row r="92" spans="1:59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BC92" s="5"/>
      <c r="BD92" s="5"/>
      <c r="BE92" s="5"/>
      <c r="BF92" s="5"/>
      <c r="BG92" s="5"/>
    </row>
    <row r="93" spans="1:59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BC93" s="5"/>
      <c r="BD93" s="5"/>
      <c r="BE93" s="5"/>
      <c r="BF93" s="5"/>
      <c r="BG93" s="5"/>
    </row>
    <row r="94" spans="1:59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BC94" s="5"/>
      <c r="BD94" s="5"/>
      <c r="BE94" s="5"/>
      <c r="BF94" s="5"/>
      <c r="BG94" s="5"/>
    </row>
    <row r="95" spans="1:59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BC95" s="5"/>
      <c r="BD95" s="5"/>
      <c r="BE95" s="5"/>
      <c r="BF95" s="5"/>
      <c r="BG95" s="5"/>
    </row>
    <row r="96" spans="1:59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BC96" s="5"/>
      <c r="BD96" s="5"/>
      <c r="BE96" s="5"/>
      <c r="BF96" s="5"/>
      <c r="BG96" s="5"/>
    </row>
    <row r="97" spans="1:59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BC97" s="5"/>
      <c r="BD97" s="5"/>
      <c r="BE97" s="5"/>
      <c r="BF97" s="5"/>
      <c r="BG97" s="5"/>
    </row>
    <row r="98" spans="1:59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BC98" s="5"/>
      <c r="BD98" s="5"/>
      <c r="BE98" s="5"/>
      <c r="BF98" s="5"/>
      <c r="BG98" s="5"/>
    </row>
    <row r="99" spans="1:59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BC99" s="5"/>
      <c r="BD99" s="5"/>
      <c r="BE99" s="5"/>
      <c r="BF99" s="5"/>
      <c r="BG99" s="5"/>
    </row>
    <row r="100" spans="1:59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BC100" s="5"/>
      <c r="BD100" s="5"/>
      <c r="BE100" s="5"/>
      <c r="BF100" s="5"/>
      <c r="BG100" s="5"/>
    </row>
    <row r="101" spans="1:59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BC101" s="5"/>
      <c r="BD101" s="5"/>
      <c r="BE101" s="5"/>
      <c r="BF101" s="5"/>
      <c r="BG101" s="5"/>
    </row>
    <row r="102" spans="1:59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BC102" s="5"/>
      <c r="BD102" s="5"/>
      <c r="BE102" s="5"/>
      <c r="BF102" s="5"/>
      <c r="BG102" s="5"/>
    </row>
    <row r="103" spans="1:59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BC103" s="5"/>
      <c r="BD103" s="5"/>
      <c r="BE103" s="5"/>
      <c r="BF103" s="5"/>
      <c r="BG103" s="5"/>
    </row>
    <row r="104" spans="1:59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BC104" s="5"/>
      <c r="BD104" s="5"/>
      <c r="BE104" s="5"/>
      <c r="BF104" s="5"/>
      <c r="BG104" s="5"/>
    </row>
    <row r="105" spans="1:59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BC105" s="5"/>
      <c r="BD105" s="5"/>
      <c r="BE105" s="5"/>
      <c r="BF105" s="5"/>
      <c r="BG105" s="5"/>
    </row>
    <row r="106" spans="1:59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BC106" s="5"/>
      <c r="BD106" s="5"/>
      <c r="BE106" s="5"/>
      <c r="BF106" s="5"/>
      <c r="BG106" s="5"/>
    </row>
    <row r="107" spans="1:59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BC107" s="5"/>
      <c r="BD107" s="5"/>
      <c r="BE107" s="5"/>
      <c r="BF107" s="5"/>
      <c r="BG107" s="5"/>
    </row>
    <row r="108" spans="1:59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BC108" s="5"/>
      <c r="BD108" s="5"/>
      <c r="BE108" s="5"/>
      <c r="BF108" s="5"/>
      <c r="BG108" s="5"/>
    </row>
    <row r="109" spans="1:59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BC109" s="5"/>
      <c r="BD109" s="5"/>
      <c r="BE109" s="5"/>
      <c r="BF109" s="5"/>
      <c r="BG109" s="5"/>
    </row>
    <row r="110" spans="1:59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BC110" s="5"/>
      <c r="BD110" s="5"/>
      <c r="BE110" s="5"/>
      <c r="BF110" s="5"/>
      <c r="BG110" s="5"/>
    </row>
    <row r="111" spans="1:59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BC111" s="5"/>
      <c r="BD111" s="5"/>
      <c r="BE111" s="5"/>
      <c r="BF111" s="5"/>
      <c r="BG111" s="5"/>
    </row>
    <row r="112" spans="1:59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BC112" s="5"/>
      <c r="BD112" s="5"/>
      <c r="BE112" s="5"/>
      <c r="BF112" s="5"/>
      <c r="BG112" s="5"/>
    </row>
    <row r="113" spans="1:59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BC113" s="5"/>
      <c r="BD113" s="5"/>
      <c r="BE113" s="5"/>
      <c r="BF113" s="5"/>
      <c r="BG113" s="5"/>
    </row>
    <row r="114" spans="1:59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BC114" s="5"/>
      <c r="BD114" s="5"/>
      <c r="BE114" s="5"/>
      <c r="BF114" s="5"/>
      <c r="BG114" s="5"/>
    </row>
    <row r="115" spans="1:59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BC115" s="5"/>
      <c r="BD115" s="5"/>
      <c r="BE115" s="5"/>
      <c r="BF115" s="5"/>
      <c r="BG115" s="5"/>
    </row>
    <row r="116" spans="1:59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BC116" s="5"/>
      <c r="BD116" s="5"/>
      <c r="BE116" s="5"/>
      <c r="BF116" s="5"/>
      <c r="BG116" s="5"/>
    </row>
    <row r="117" spans="1:59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BC117" s="5"/>
      <c r="BD117" s="5"/>
      <c r="BE117" s="5"/>
      <c r="BF117" s="5"/>
      <c r="BG117" s="5"/>
    </row>
    <row r="118" spans="1:59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BC118" s="5"/>
      <c r="BD118" s="5"/>
      <c r="BE118" s="5"/>
      <c r="BF118" s="5"/>
      <c r="BG118" s="5"/>
    </row>
    <row r="119" spans="1:59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BC119" s="5"/>
      <c r="BD119" s="5"/>
      <c r="BE119" s="5"/>
      <c r="BF119" s="5"/>
      <c r="BG119" s="5"/>
    </row>
    <row r="120" spans="1:59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BC120" s="5"/>
      <c r="BD120" s="5"/>
      <c r="BE120" s="5"/>
      <c r="BF120" s="5"/>
      <c r="BG120" s="5"/>
    </row>
    <row r="121" spans="1:59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BC121" s="5"/>
      <c r="BD121" s="5"/>
      <c r="BE121" s="5"/>
      <c r="BF121" s="5"/>
      <c r="BG121" s="5"/>
    </row>
    <row r="122" spans="1:59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BC122" s="5"/>
      <c r="BD122" s="5"/>
      <c r="BE122" s="5"/>
      <c r="BF122" s="5"/>
      <c r="BG122" s="5"/>
    </row>
    <row r="123" spans="1:59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BC123" s="5"/>
      <c r="BD123" s="5"/>
      <c r="BE123" s="5"/>
      <c r="BF123" s="5"/>
      <c r="BG123" s="5"/>
    </row>
    <row r="124" spans="1:59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BC124" s="5"/>
      <c r="BD124" s="5"/>
      <c r="BE124" s="5"/>
      <c r="BF124" s="5"/>
      <c r="BG124" s="5"/>
    </row>
    <row r="125" spans="1:59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BC125" s="5"/>
      <c r="BD125" s="5"/>
      <c r="BE125" s="5"/>
      <c r="BF125" s="5"/>
      <c r="BG125" s="5"/>
    </row>
    <row r="126" spans="1:59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BC126" s="5"/>
      <c r="BD126" s="5"/>
      <c r="BE126" s="5"/>
      <c r="BF126" s="5"/>
      <c r="BG126" s="5"/>
    </row>
    <row r="127" spans="1:59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BC127" s="5"/>
      <c r="BD127" s="5"/>
      <c r="BE127" s="5"/>
      <c r="BF127" s="5"/>
      <c r="BG127" s="5"/>
    </row>
    <row r="128" spans="1:59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BC128" s="5"/>
      <c r="BD128" s="5"/>
      <c r="BE128" s="5"/>
      <c r="BF128" s="5"/>
      <c r="BG128" s="5"/>
    </row>
    <row r="129" spans="1:59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BC129" s="5"/>
      <c r="BD129" s="5"/>
      <c r="BE129" s="5"/>
      <c r="BF129" s="5"/>
      <c r="BG129" s="5"/>
    </row>
    <row r="130" spans="1:59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BC130" s="5"/>
      <c r="BD130" s="5"/>
      <c r="BE130" s="5"/>
      <c r="BF130" s="5"/>
      <c r="BG130" s="5"/>
    </row>
    <row r="131" spans="1:59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BC131" s="5"/>
      <c r="BD131" s="5"/>
      <c r="BE131" s="5"/>
      <c r="BF131" s="5"/>
      <c r="BG131" s="5"/>
    </row>
    <row r="132" spans="1:59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BC132" s="5"/>
      <c r="BD132" s="5"/>
      <c r="BE132" s="5"/>
      <c r="BF132" s="5"/>
      <c r="BG132" s="5"/>
    </row>
    <row r="133" spans="1:59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BC133" s="5"/>
      <c r="BD133" s="5"/>
      <c r="BE133" s="5"/>
      <c r="BF133" s="5"/>
      <c r="BG133" s="5"/>
    </row>
    <row r="134" spans="1:59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BC134" s="5"/>
      <c r="BD134" s="5"/>
      <c r="BE134" s="5"/>
      <c r="BF134" s="5"/>
      <c r="BG134" s="5"/>
    </row>
    <row r="135" spans="1:59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BC135" s="5"/>
      <c r="BD135" s="5"/>
      <c r="BE135" s="5"/>
      <c r="BF135" s="5"/>
      <c r="BG135" s="5"/>
    </row>
    <row r="136" spans="1:59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BC136" s="5"/>
      <c r="BD136" s="5"/>
      <c r="BE136" s="5"/>
      <c r="BF136" s="5"/>
      <c r="BG136" s="5"/>
    </row>
    <row r="137" spans="1:59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BC137" s="5"/>
      <c r="BD137" s="5"/>
      <c r="BE137" s="5"/>
      <c r="BF137" s="5"/>
      <c r="BG137" s="5"/>
    </row>
    <row r="138" spans="1:59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BC138" s="5"/>
      <c r="BD138" s="5"/>
      <c r="BE138" s="5"/>
      <c r="BF138" s="5"/>
      <c r="BG138" s="5"/>
    </row>
    <row r="139" spans="1:59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BC139" s="5"/>
      <c r="BD139" s="5"/>
      <c r="BE139" s="5"/>
      <c r="BF139" s="5"/>
      <c r="BG139" s="5"/>
    </row>
    <row r="140" spans="1:59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BC140" s="5"/>
      <c r="BD140" s="5"/>
      <c r="BE140" s="5"/>
      <c r="BF140" s="5"/>
      <c r="BG140" s="5"/>
    </row>
    <row r="141" spans="1:59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BC141" s="5"/>
      <c r="BD141" s="5"/>
      <c r="BE141" s="5"/>
      <c r="BF141" s="5"/>
      <c r="BG141" s="5"/>
    </row>
    <row r="142" spans="1:59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BC142" s="5"/>
      <c r="BD142" s="5"/>
      <c r="BE142" s="5"/>
      <c r="BF142" s="5"/>
      <c r="BG142" s="5"/>
    </row>
    <row r="143" spans="1:59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BC143" s="5"/>
      <c r="BD143" s="5"/>
      <c r="BE143" s="5"/>
      <c r="BF143" s="5"/>
      <c r="BG143" s="5"/>
    </row>
    <row r="144" spans="1:59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BC144" s="5"/>
      <c r="BD144" s="5"/>
      <c r="BE144" s="5"/>
      <c r="BF144" s="5"/>
      <c r="BG144" s="5"/>
    </row>
    <row r="145" spans="1:59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BC145" s="5"/>
      <c r="BD145" s="5"/>
      <c r="BE145" s="5"/>
      <c r="BF145" s="5"/>
      <c r="BG145" s="5"/>
    </row>
    <row r="146" spans="1:59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BC146" s="5"/>
      <c r="BD146" s="5"/>
      <c r="BE146" s="5"/>
      <c r="BF146" s="5"/>
      <c r="BG146" s="5"/>
    </row>
    <row r="147" spans="1:59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BC147" s="5"/>
      <c r="BD147" s="5"/>
      <c r="BE147" s="5"/>
      <c r="BF147" s="5"/>
      <c r="BG147" s="5"/>
    </row>
    <row r="148" spans="1:59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BC148" s="5"/>
      <c r="BD148" s="5"/>
      <c r="BE148" s="5"/>
      <c r="BF148" s="5"/>
      <c r="BG148" s="5"/>
    </row>
    <row r="149" spans="1:59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BC149" s="5"/>
      <c r="BD149" s="5"/>
      <c r="BE149" s="5"/>
      <c r="BF149" s="5"/>
      <c r="BG149" s="5"/>
    </row>
    <row r="150" spans="1:59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BC150" s="5"/>
      <c r="BD150" s="5"/>
      <c r="BE150" s="5"/>
      <c r="BF150" s="5"/>
      <c r="BG150" s="5"/>
    </row>
    <row r="151" spans="1:59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BC151" s="5"/>
      <c r="BD151" s="5"/>
      <c r="BE151" s="5"/>
      <c r="BF151" s="5"/>
      <c r="BG151" s="5"/>
    </row>
    <row r="152" spans="1:59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BC152" s="5"/>
      <c r="BD152" s="5"/>
      <c r="BE152" s="5"/>
      <c r="BF152" s="5"/>
      <c r="BG152" s="5"/>
    </row>
    <row r="153" spans="1:59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BC153" s="5"/>
      <c r="BD153" s="5"/>
      <c r="BE153" s="5"/>
      <c r="BF153" s="5"/>
      <c r="BG153" s="5"/>
    </row>
    <row r="154" spans="1:59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BC154" s="5"/>
      <c r="BD154" s="5"/>
      <c r="BE154" s="5"/>
      <c r="BF154" s="5"/>
      <c r="BG154" s="5"/>
    </row>
    <row r="155" spans="1:59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BC155" s="5"/>
      <c r="BD155" s="5"/>
      <c r="BE155" s="5"/>
      <c r="BF155" s="5"/>
      <c r="BG155" s="5"/>
    </row>
    <row r="156" spans="1:59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BC156" s="5"/>
      <c r="BD156" s="5"/>
      <c r="BE156" s="5"/>
      <c r="BF156" s="5"/>
      <c r="BG156" s="5"/>
    </row>
    <row r="157" spans="1:59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BC157" s="5"/>
      <c r="BD157" s="5"/>
      <c r="BE157" s="5"/>
      <c r="BF157" s="5"/>
      <c r="BG157" s="5"/>
    </row>
    <row r="158" spans="1:59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BC158" s="5"/>
      <c r="BD158" s="5"/>
      <c r="BE158" s="5"/>
      <c r="BF158" s="5"/>
      <c r="BG158" s="5"/>
    </row>
    <row r="159" spans="1:59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BC159" s="5"/>
      <c r="BD159" s="5"/>
      <c r="BE159" s="5"/>
      <c r="BF159" s="5"/>
      <c r="BG159" s="5"/>
    </row>
    <row r="160" spans="1:59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BC160" s="5"/>
      <c r="BD160" s="5"/>
      <c r="BE160" s="5"/>
      <c r="BF160" s="5"/>
      <c r="BG160" s="5"/>
    </row>
    <row r="161" spans="1:59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BC161" s="5"/>
      <c r="BD161" s="5"/>
      <c r="BE161" s="5"/>
      <c r="BF161" s="5"/>
      <c r="BG161" s="5"/>
    </row>
    <row r="162" spans="1:59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BC162" s="5"/>
      <c r="BD162" s="5"/>
      <c r="BE162" s="5"/>
      <c r="BF162" s="5"/>
      <c r="BG162" s="5"/>
    </row>
    <row r="163" spans="1:59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BC163" s="5"/>
      <c r="BD163" s="5"/>
      <c r="BE163" s="5"/>
      <c r="BF163" s="5"/>
      <c r="BG163" s="5"/>
    </row>
    <row r="164" spans="1:59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BC164" s="5"/>
      <c r="BD164" s="5"/>
      <c r="BE164" s="5"/>
      <c r="BF164" s="5"/>
      <c r="BG164" s="5"/>
    </row>
    <row r="165" spans="1:59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BC165" s="5"/>
      <c r="BD165" s="5"/>
      <c r="BE165" s="5"/>
      <c r="BF165" s="5"/>
      <c r="BG165" s="5"/>
    </row>
    <row r="166" spans="1:59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BC166" s="5"/>
      <c r="BD166" s="5"/>
      <c r="BE166" s="5"/>
      <c r="BF166" s="5"/>
      <c r="BG166" s="5"/>
    </row>
    <row r="167" spans="1:59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BC167" s="5"/>
      <c r="BD167" s="5"/>
      <c r="BE167" s="5"/>
      <c r="BF167" s="5"/>
      <c r="BG167" s="5"/>
    </row>
    <row r="168" spans="1:59" x14ac:dyDescent="0.25"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BC168" s="5"/>
      <c r="BD168" s="5"/>
      <c r="BE168" s="5"/>
      <c r="BF168" s="5"/>
      <c r="BG168" s="5"/>
    </row>
  </sheetData>
  <mergeCells count="26">
    <mergeCell ref="N16:Q16"/>
    <mergeCell ref="H2:K2"/>
    <mergeCell ref="H10:K10"/>
    <mergeCell ref="H16:K16"/>
    <mergeCell ref="H25:K25"/>
    <mergeCell ref="A1:R1"/>
    <mergeCell ref="V25:Y25"/>
    <mergeCell ref="AH25:AK25"/>
    <mergeCell ref="AH16:AK16"/>
    <mergeCell ref="V16:Y16"/>
    <mergeCell ref="V2:Y2"/>
    <mergeCell ref="AH2:AK2"/>
    <mergeCell ref="V9:Y9"/>
    <mergeCell ref="AH9:AK9"/>
    <mergeCell ref="B25:E25"/>
    <mergeCell ref="N25:Q25"/>
    <mergeCell ref="B2:E2"/>
    <mergeCell ref="N2:Q2"/>
    <mergeCell ref="B9:E9"/>
    <mergeCell ref="N9:Q9"/>
    <mergeCell ref="B16:E16"/>
    <mergeCell ref="U1:AL1"/>
    <mergeCell ref="AB2:AE2"/>
    <mergeCell ref="AB10:AE10"/>
    <mergeCell ref="AB16:AE16"/>
    <mergeCell ref="AB25:AE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2">
                <anchor moveWithCells="1" sizeWithCells="1">
                  <from>
                    <xdr:col>18</xdr:col>
                    <xdr:colOff>47625</xdr:colOff>
                    <xdr:row>0</xdr:row>
                    <xdr:rowOff>0</xdr:rowOff>
                  </from>
                  <to>
                    <xdr:col>19</xdr:col>
                    <xdr:colOff>752475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37A6-C287-4778-9ED3-EA2A459F20C6}">
  <sheetPr codeName="Hoja2">
    <tabColor rgb="FF0070C0"/>
  </sheetPr>
  <dimension ref="A1:AX117"/>
  <sheetViews>
    <sheetView showGridLines="0" showRowColHeaders="0" zoomScale="70" zoomScaleNormal="70" workbookViewId="0"/>
  </sheetViews>
  <sheetFormatPr baseColWidth="10" defaultRowHeight="15" x14ac:dyDescent="0.25"/>
  <cols>
    <col min="1" max="1" width="7.7109375" customWidth="1"/>
    <col min="2" max="3" width="11.7109375" customWidth="1"/>
    <col min="4" max="4" width="12.140625" customWidth="1"/>
    <col min="5" max="5" width="11.7109375" customWidth="1"/>
    <col min="6" max="6" width="7.7109375" customWidth="1"/>
    <col min="7" max="7" width="11.42578125" style="5"/>
    <col min="8" max="8" width="14.140625" style="5" customWidth="1"/>
    <col min="9" max="9" width="11.85546875" style="5" customWidth="1"/>
    <col min="10" max="10" width="12.7109375" style="5" customWidth="1"/>
    <col min="11" max="11" width="11.85546875" style="5" customWidth="1"/>
    <col min="12" max="18" width="11.42578125" style="5"/>
    <col min="19" max="19" width="18.140625" style="5" customWidth="1"/>
    <col min="20" max="50" width="11.42578125" style="5"/>
  </cols>
  <sheetData>
    <row r="1" spans="1:34" ht="15" customHeight="1" x14ac:dyDescent="0.25">
      <c r="A1" s="44"/>
      <c r="B1" s="233" t="s">
        <v>49</v>
      </c>
      <c r="C1" s="233"/>
      <c r="D1" s="233"/>
      <c r="E1" s="233"/>
      <c r="F1" s="44"/>
      <c r="H1" s="35" t="s">
        <v>104</v>
      </c>
      <c r="I1" s="36" t="s">
        <v>38</v>
      </c>
      <c r="J1" s="37" t="s">
        <v>40</v>
      </c>
      <c r="K1" s="38" t="s">
        <v>39</v>
      </c>
      <c r="L1" s="35" t="s">
        <v>45</v>
      </c>
      <c r="S1" s="35" t="s">
        <v>42</v>
      </c>
      <c r="T1" s="36" t="s">
        <v>38</v>
      </c>
      <c r="U1" s="37" t="s">
        <v>40</v>
      </c>
      <c r="V1" s="38" t="s">
        <v>39</v>
      </c>
      <c r="W1" s="35" t="s">
        <v>45</v>
      </c>
      <c r="AD1" s="35" t="s">
        <v>48</v>
      </c>
      <c r="AE1" s="36" t="s">
        <v>38</v>
      </c>
      <c r="AF1" s="37" t="s">
        <v>40</v>
      </c>
      <c r="AG1" s="38" t="s">
        <v>39</v>
      </c>
      <c r="AH1" s="35" t="s">
        <v>45</v>
      </c>
    </row>
    <row r="2" spans="1:34" ht="15" customHeight="1" x14ac:dyDescent="0.25">
      <c r="A2" s="44"/>
      <c r="B2" s="7"/>
      <c r="C2" s="8"/>
      <c r="D2" s="14" t="s">
        <v>28</v>
      </c>
      <c r="E2" s="15">
        <v>100</v>
      </c>
      <c r="F2" s="44"/>
      <c r="H2" s="62">
        <v>1.0009999999999999</v>
      </c>
      <c r="I2" s="62">
        <v>11.20929068387129</v>
      </c>
      <c r="J2" s="51">
        <v>2.2249092363349683</v>
      </c>
      <c r="K2" s="63">
        <v>12.490201911896378</v>
      </c>
      <c r="L2" s="73">
        <v>0.24975024912912375</v>
      </c>
      <c r="S2" s="54">
        <v>1</v>
      </c>
      <c r="T2" s="62">
        <v>4.6362894562590684</v>
      </c>
      <c r="U2" s="51">
        <v>1.1630514417866373</v>
      </c>
      <c r="V2" s="63">
        <v>1.6058809055977403</v>
      </c>
      <c r="W2" s="73">
        <v>0.12500000003750711</v>
      </c>
      <c r="AD2" s="28">
        <v>1</v>
      </c>
      <c r="AE2" s="30">
        <v>8.8267272952761875</v>
      </c>
      <c r="AF2" s="33">
        <v>1.283513916173233</v>
      </c>
      <c r="AG2" s="39">
        <v>6.091146264596059</v>
      </c>
      <c r="AH2" s="42">
        <v>0.50000000003348599</v>
      </c>
    </row>
    <row r="3" spans="1:34" ht="15" customHeight="1" x14ac:dyDescent="0.25">
      <c r="A3" s="44"/>
      <c r="B3" s="8"/>
      <c r="C3" s="8"/>
      <c r="D3" s="21" t="s">
        <v>29</v>
      </c>
      <c r="E3" s="10">
        <v>2</v>
      </c>
      <c r="F3" s="44"/>
      <c r="H3" s="54">
        <v>1.5</v>
      </c>
      <c r="I3" s="62">
        <v>6.3870073360307043</v>
      </c>
      <c r="J3" s="51">
        <v>1.5487948155215405</v>
      </c>
      <c r="K3" s="63">
        <v>3.8393539310093772</v>
      </c>
      <c r="L3" s="73">
        <v>0.16666666711278694</v>
      </c>
      <c r="S3" s="54">
        <v>3</v>
      </c>
      <c r="T3" s="62">
        <v>5.5327492302585579</v>
      </c>
      <c r="U3" s="51">
        <v>0.81669150051215611</v>
      </c>
      <c r="V3" s="63">
        <v>1.55623425312747</v>
      </c>
      <c r="W3" s="73">
        <v>0.12500000018694243</v>
      </c>
      <c r="AD3" s="28">
        <v>2</v>
      </c>
      <c r="AE3" s="30">
        <v>6.1136903845458654</v>
      </c>
      <c r="AF3" s="33">
        <v>1.337713538330745</v>
      </c>
      <c r="AG3" s="39">
        <v>3.285617318866942</v>
      </c>
      <c r="AH3" s="42">
        <v>0.25000000008882228</v>
      </c>
    </row>
    <row r="4" spans="1:34" ht="15" customHeight="1" x14ac:dyDescent="0.25">
      <c r="A4" s="44"/>
      <c r="B4" s="7"/>
      <c r="C4" s="8"/>
      <c r="D4" s="9" t="s">
        <v>11</v>
      </c>
      <c r="E4" s="10">
        <v>1</v>
      </c>
      <c r="F4" s="44"/>
      <c r="H4" s="62">
        <v>2</v>
      </c>
      <c r="I4" s="62">
        <v>4.6362894562590684</v>
      </c>
      <c r="J4" s="51">
        <v>1.1630514417866373</v>
      </c>
      <c r="K4" s="63">
        <v>1.6058809055977403</v>
      </c>
      <c r="L4" s="73">
        <v>0.12500000003750711</v>
      </c>
      <c r="S4" s="54">
        <v>5</v>
      </c>
      <c r="T4" s="62">
        <v>6.0313535086748962</v>
      </c>
      <c r="U4" s="51">
        <v>0.68724318304232179</v>
      </c>
      <c r="V4" s="63">
        <v>1.5101603269660517</v>
      </c>
      <c r="W4" s="73">
        <v>0.12500000076761769</v>
      </c>
      <c r="AD4" s="28">
        <v>3</v>
      </c>
      <c r="AE4" s="30">
        <v>5.1671622945858191</v>
      </c>
      <c r="AF4" s="33">
        <v>1.2484597356515712</v>
      </c>
      <c r="AG4" s="39">
        <v>2.1858426205825809</v>
      </c>
      <c r="AH4" s="42">
        <v>0.16666666818669923</v>
      </c>
    </row>
    <row r="5" spans="1:34" ht="15" customHeight="1" x14ac:dyDescent="0.25">
      <c r="A5" s="44"/>
      <c r="B5" s="5"/>
      <c r="C5" s="5"/>
      <c r="D5" s="12" t="s">
        <v>12</v>
      </c>
      <c r="E5" s="13">
        <v>0</v>
      </c>
      <c r="F5" s="44"/>
      <c r="H5" s="54">
        <v>2.5</v>
      </c>
      <c r="I5" s="62">
        <v>3.7790695302927513</v>
      </c>
      <c r="J5" s="51">
        <v>0.90048773610828881</v>
      </c>
      <c r="K5" s="63">
        <v>0.76803070684473829</v>
      </c>
      <c r="L5" s="73">
        <v>0.10000000004682223</v>
      </c>
      <c r="R5" s="27"/>
      <c r="S5" s="54">
        <v>7</v>
      </c>
      <c r="T5" s="62">
        <v>6.3913520595578976</v>
      </c>
      <c r="U5" s="51">
        <v>0.61200437550521958</v>
      </c>
      <c r="V5" s="63">
        <v>1.4738048508289299</v>
      </c>
      <c r="W5" s="73">
        <v>0.1250000015432178</v>
      </c>
      <c r="AD5" s="28">
        <v>4</v>
      </c>
      <c r="AE5" s="30">
        <v>4.6362894562590684</v>
      </c>
      <c r="AF5" s="33">
        <v>1.1630514417866373</v>
      </c>
      <c r="AG5" s="39">
        <v>1.6058809055977403</v>
      </c>
      <c r="AH5" s="42">
        <v>0.12500000003750711</v>
      </c>
    </row>
    <row r="6" spans="1:34" ht="15" customHeight="1" x14ac:dyDescent="0.25">
      <c r="A6" s="44"/>
      <c r="B6" s="5"/>
      <c r="C6" s="5"/>
      <c r="D6" s="9" t="s">
        <v>13</v>
      </c>
      <c r="E6" s="10">
        <v>2</v>
      </c>
      <c r="F6" s="44"/>
      <c r="H6" s="62">
        <v>3</v>
      </c>
      <c r="I6" s="62">
        <v>3.2902501371780755</v>
      </c>
      <c r="J6" s="51">
        <v>0.70186447482027514</v>
      </c>
      <c r="K6" s="63">
        <v>0.38954208927827749</v>
      </c>
      <c r="L6" s="73">
        <v>8.3333333065491386E-2</v>
      </c>
      <c r="R6" s="27"/>
      <c r="S6" s="54">
        <v>9</v>
      </c>
      <c r="T6" s="62">
        <v>6.6776864414716295</v>
      </c>
      <c r="U6" s="51">
        <v>0.56064501361246766</v>
      </c>
      <c r="V6" s="63">
        <v>1.4440985671077824</v>
      </c>
      <c r="W6" s="73">
        <v>0.1250000005324671</v>
      </c>
      <c r="AD6" s="28">
        <v>5</v>
      </c>
      <c r="AE6" s="30">
        <v>4.2846109932425218</v>
      </c>
      <c r="AF6" s="33">
        <v>1.0894497414805426</v>
      </c>
      <c r="AG6" s="39">
        <v>1.247820044743094</v>
      </c>
      <c r="AH6" s="42">
        <v>9.9999999876703952E-2</v>
      </c>
    </row>
    <row r="7" spans="1:34" ht="15" customHeight="1" x14ac:dyDescent="0.25">
      <c r="A7" s="44"/>
      <c r="B7" s="5"/>
      <c r="C7" s="5"/>
      <c r="D7" s="9" t="s">
        <v>46</v>
      </c>
      <c r="E7" s="10">
        <v>4</v>
      </c>
      <c r="F7" s="44"/>
      <c r="H7" s="55">
        <v>3.5</v>
      </c>
      <c r="I7" s="65">
        <v>2.9886024267141624</v>
      </c>
      <c r="J7" s="52">
        <v>0.54175322089263567</v>
      </c>
      <c r="K7" s="66">
        <v>0.20157942648692773</v>
      </c>
      <c r="L7" s="74">
        <v>7.142857024590453E-2</v>
      </c>
      <c r="R7" s="27"/>
      <c r="S7" s="55">
        <v>11</v>
      </c>
      <c r="T7" s="65">
        <v>6.9175517799775408</v>
      </c>
      <c r="U7" s="52">
        <v>0.52243849700457501</v>
      </c>
      <c r="V7" s="66">
        <v>1.4190462285806507</v>
      </c>
      <c r="W7" s="74">
        <v>0.12500000169451755</v>
      </c>
      <c r="AD7" s="29">
        <v>10</v>
      </c>
      <c r="AE7" s="31">
        <v>3.4482490679685225</v>
      </c>
      <c r="AF7" s="34">
        <v>0.84101306977864787</v>
      </c>
      <c r="AG7" s="40">
        <v>0.51640301398734212</v>
      </c>
      <c r="AH7" s="43">
        <v>5.0000001301676762E-2</v>
      </c>
    </row>
    <row r="8" spans="1:34" ht="15" customHeight="1" x14ac:dyDescent="0.25">
      <c r="A8" s="44"/>
      <c r="B8" s="5"/>
      <c r="C8" s="5"/>
      <c r="D8" s="16" t="s">
        <v>17</v>
      </c>
      <c r="E8" s="20">
        <v>0.21</v>
      </c>
      <c r="F8" s="44"/>
      <c r="H8" s="41"/>
      <c r="I8" s="41"/>
      <c r="J8" s="41"/>
      <c r="K8" s="41"/>
      <c r="L8" s="41"/>
      <c r="S8" s="41"/>
      <c r="T8" s="41"/>
      <c r="U8" s="41"/>
      <c r="V8" s="41"/>
      <c r="W8" s="41"/>
    </row>
    <row r="9" spans="1:34" ht="15" customHeight="1" thickBot="1" x14ac:dyDescent="0.3">
      <c r="A9" s="44"/>
      <c r="B9" s="61"/>
      <c r="C9" s="61"/>
      <c r="D9" s="61"/>
      <c r="E9" s="61"/>
      <c r="F9" s="44"/>
      <c r="H9" s="41"/>
      <c r="I9" s="41"/>
      <c r="J9" s="41"/>
      <c r="K9" s="41"/>
      <c r="L9" s="41"/>
      <c r="S9" s="41"/>
      <c r="T9" s="41"/>
      <c r="U9" s="41"/>
      <c r="V9" s="41"/>
      <c r="W9" s="41"/>
    </row>
    <row r="10" spans="1:34" ht="15" customHeight="1" thickTop="1" x14ac:dyDescent="0.25">
      <c r="A10" s="44"/>
      <c r="B10" s="5"/>
      <c r="C10" s="5"/>
      <c r="D10" s="5"/>
      <c r="E10" s="5"/>
      <c r="F10" s="44"/>
      <c r="H10" s="41"/>
      <c r="I10" s="41"/>
      <c r="J10" s="41"/>
      <c r="K10" s="41"/>
      <c r="L10" s="41"/>
      <c r="S10" s="41"/>
      <c r="T10" s="41"/>
      <c r="U10" s="41"/>
      <c r="V10" s="41"/>
      <c r="W10" s="41"/>
    </row>
    <row r="11" spans="1:34" ht="15" customHeight="1" x14ac:dyDescent="0.25">
      <c r="A11" s="44"/>
      <c r="B11" s="3" t="s">
        <v>16</v>
      </c>
      <c r="C11" s="6">
        <f>E7*E11</f>
        <v>3.3640522791145915</v>
      </c>
      <c r="D11" s="3" t="s">
        <v>47</v>
      </c>
      <c r="E11" s="6">
        <v>0.84101306977864787</v>
      </c>
      <c r="F11" s="44"/>
      <c r="H11" s="35" t="s">
        <v>105</v>
      </c>
      <c r="I11" s="36" t="s">
        <v>38</v>
      </c>
      <c r="J11" s="37" t="s">
        <v>40</v>
      </c>
      <c r="K11" s="35" t="s">
        <v>39</v>
      </c>
      <c r="L11" s="35" t="s">
        <v>45</v>
      </c>
      <c r="S11" s="35" t="s">
        <v>43</v>
      </c>
      <c r="T11" s="36" t="s">
        <v>38</v>
      </c>
      <c r="U11" s="37" t="s">
        <v>40</v>
      </c>
      <c r="V11" s="35" t="s">
        <v>39</v>
      </c>
      <c r="W11" s="35" t="s">
        <v>45</v>
      </c>
    </row>
    <row r="12" spans="1:34" ht="15" customHeight="1" x14ac:dyDescent="0.25">
      <c r="A12" s="44"/>
      <c r="B12" s="3" t="s">
        <v>23</v>
      </c>
      <c r="C12" s="6">
        <f>E13 * (1 - (1/(E7*E3)))</f>
        <v>3.9426780454717494</v>
      </c>
      <c r="D12" s="3" t="s">
        <v>8</v>
      </c>
      <c r="E12" s="6">
        <f>(C11/E2)^(-1/E3)</f>
        <v>5.4521604971666475</v>
      </c>
      <c r="F12" s="44"/>
      <c r="H12" s="64">
        <v>0</v>
      </c>
      <c r="I12" s="62">
        <v>4.3257313305826877</v>
      </c>
      <c r="J12" s="51">
        <v>1.3360445029317281</v>
      </c>
      <c r="K12" s="68">
        <v>2.312327438436939</v>
      </c>
      <c r="L12" s="73">
        <v>0.12500000010304926</v>
      </c>
      <c r="S12" s="62">
        <v>0</v>
      </c>
      <c r="T12" s="62">
        <v>4.6362894562590684</v>
      </c>
      <c r="U12" s="51">
        <v>1.1630514417866373</v>
      </c>
      <c r="V12" s="68">
        <v>1.6058809055977403</v>
      </c>
      <c r="W12" s="73">
        <v>0.12500000003750711</v>
      </c>
    </row>
    <row r="13" spans="1:34" ht="15" customHeight="1" x14ac:dyDescent="0.25">
      <c r="A13" s="44"/>
      <c r="B13" s="3" t="s">
        <v>4</v>
      </c>
      <c r="C13" s="6">
        <f>E4*E11^2 - E5*E11 + E6</f>
        <v>2.7073029835385047</v>
      </c>
      <c r="D13" s="3" t="s">
        <v>9</v>
      </c>
      <c r="E13" s="6">
        <f>E12/(1+E8)</f>
        <v>4.505917766253428</v>
      </c>
      <c r="F13" s="44"/>
      <c r="H13" s="64">
        <v>0.03</v>
      </c>
      <c r="I13" s="62">
        <v>4.3705783251819152</v>
      </c>
      <c r="J13" s="51">
        <v>1.3087665705102938</v>
      </c>
      <c r="K13" s="68">
        <v>2.1886808065667736</v>
      </c>
      <c r="L13" s="73">
        <v>0.12500000008381998</v>
      </c>
      <c r="S13" s="54">
        <v>0.25</v>
      </c>
      <c r="T13" s="62">
        <v>4.4802460459622688</v>
      </c>
      <c r="U13" s="51">
        <v>1.2454786241191456</v>
      </c>
      <c r="V13" s="68">
        <v>1.6705544706523741</v>
      </c>
      <c r="W13" s="73">
        <v>0.12500000004829775</v>
      </c>
    </row>
    <row r="14" spans="1:34" ht="15" customHeight="1" x14ac:dyDescent="0.25">
      <c r="A14" s="44"/>
      <c r="B14" s="5"/>
      <c r="C14" s="5"/>
      <c r="D14" s="5"/>
      <c r="E14" s="5"/>
      <c r="F14" s="44"/>
      <c r="H14" s="64">
        <v>0.105</v>
      </c>
      <c r="I14" s="62">
        <v>4.4818598296427936</v>
      </c>
      <c r="J14" s="51">
        <v>1.2445818663908648</v>
      </c>
      <c r="K14" s="68">
        <v>1.9162251239559369</v>
      </c>
      <c r="L14" s="73">
        <v>0.1250000014419983</v>
      </c>
      <c r="S14" s="62">
        <v>0.5</v>
      </c>
      <c r="T14" s="62">
        <v>4.3203584673298687</v>
      </c>
      <c r="U14" s="51">
        <v>1.339369619605292</v>
      </c>
      <c r="V14" s="68">
        <v>1.7511136279342039</v>
      </c>
      <c r="W14" s="73">
        <v>0.12499999895602902</v>
      </c>
    </row>
    <row r="15" spans="1:34" ht="15" customHeight="1" x14ac:dyDescent="0.25">
      <c r="A15" s="44"/>
      <c r="B15" s="5" t="s">
        <v>15</v>
      </c>
      <c r="C15" s="6">
        <f>C12-C13</f>
        <v>1.2353750619332446</v>
      </c>
      <c r="D15" s="5"/>
      <c r="E15" s="5"/>
      <c r="F15" s="44"/>
      <c r="H15" s="64">
        <v>0.21</v>
      </c>
      <c r="I15" s="62">
        <v>4.6362894562590684</v>
      </c>
      <c r="J15" s="51">
        <v>1.1630514417866373</v>
      </c>
      <c r="K15" s="68">
        <v>1.6058809055977403</v>
      </c>
      <c r="L15" s="73">
        <v>0.12500000003750711</v>
      </c>
      <c r="S15" s="54">
        <v>0.75</v>
      </c>
      <c r="T15" s="62">
        <v>4.1578271246112699</v>
      </c>
      <c r="U15" s="51">
        <v>1.4461293897240663</v>
      </c>
      <c r="V15" s="68">
        <v>1.8531028073374265</v>
      </c>
      <c r="W15" s="73">
        <v>0.12499999973610582</v>
      </c>
    </row>
    <row r="16" spans="1:34" ht="15" customHeight="1" thickBot="1" x14ac:dyDescent="0.3">
      <c r="A16" s="44"/>
      <c r="B16" s="61"/>
      <c r="C16" s="71"/>
      <c r="D16" s="61"/>
      <c r="E16" s="61"/>
      <c r="F16" s="44"/>
      <c r="H16" s="64">
        <v>0.35</v>
      </c>
      <c r="I16" s="62">
        <v>4.8411939537827298</v>
      </c>
      <c r="J16" s="51">
        <v>1.0666821908171391</v>
      </c>
      <c r="K16" s="68">
        <v>1.2872713176369439</v>
      </c>
      <c r="L16" s="73">
        <v>0.12499999993414411</v>
      </c>
      <c r="S16" s="62">
        <v>1</v>
      </c>
      <c r="T16" s="62">
        <v>3.9942871687187091</v>
      </c>
      <c r="U16" s="51">
        <v>1.5669727291361311</v>
      </c>
      <c r="V16" s="68">
        <v>1.9839164302821177</v>
      </c>
      <c r="W16" s="73">
        <v>0.12499999972896887</v>
      </c>
    </row>
    <row r="17" spans="1:23" ht="15" customHeight="1" thickTop="1" x14ac:dyDescent="0.25">
      <c r="A17" s="44"/>
      <c r="B17" s="5"/>
      <c r="C17" s="6" t="s">
        <v>35</v>
      </c>
      <c r="D17" s="72">
        <f>(E13-C13)/E13</f>
        <v>0.39916724539126069</v>
      </c>
      <c r="E17" s="5"/>
      <c r="F17" s="44"/>
      <c r="H17" s="67">
        <v>0.5</v>
      </c>
      <c r="I17" s="65">
        <v>5.0613014937765683</v>
      </c>
      <c r="J17" s="52">
        <v>0.9759230869767338</v>
      </c>
      <c r="K17" s="69">
        <v>1.0312830123906851</v>
      </c>
      <c r="L17" s="74">
        <v>0.12499999990381944</v>
      </c>
      <c r="S17" s="55">
        <v>1.25</v>
      </c>
      <c r="T17" s="65">
        <v>3.8317433399343801</v>
      </c>
      <c r="U17" s="52">
        <v>1.7027354827403722</v>
      </c>
      <c r="V17" s="69">
        <v>2.1531152641072149</v>
      </c>
      <c r="W17" s="74">
        <v>0.12500000256433125</v>
      </c>
    </row>
    <row r="18" spans="1:23" ht="15" customHeight="1" x14ac:dyDescent="0.25">
      <c r="A18" s="44"/>
      <c r="B18" s="5"/>
      <c r="C18" s="5" t="s">
        <v>81</v>
      </c>
      <c r="D18" s="22">
        <f>(E13*E11) - (E4/3*E11^3 - E5/2*E11^2 + E6*E11)</f>
        <v>1.9092259087265429</v>
      </c>
      <c r="E18" s="5"/>
      <c r="F18" s="44"/>
      <c r="H18" s="41"/>
      <c r="I18" s="41"/>
      <c r="J18" s="41"/>
      <c r="K18" s="41"/>
      <c r="L18" s="41"/>
      <c r="S18" s="41"/>
      <c r="T18" s="41"/>
      <c r="U18" s="41"/>
      <c r="V18" s="41"/>
      <c r="W18" s="41"/>
    </row>
    <row r="19" spans="1:23" ht="15" customHeight="1" x14ac:dyDescent="0.25">
      <c r="A19" s="44"/>
      <c r="B19" s="44"/>
      <c r="C19" s="44"/>
      <c r="D19" s="44"/>
      <c r="E19" s="44"/>
      <c r="F19" s="44"/>
      <c r="H19" s="41"/>
      <c r="I19" s="41"/>
      <c r="J19" s="41"/>
      <c r="K19" s="41"/>
      <c r="L19" s="41"/>
      <c r="S19" s="41"/>
      <c r="T19" s="41"/>
      <c r="U19" s="41"/>
      <c r="V19" s="41"/>
      <c r="W19" s="41"/>
    </row>
    <row r="20" spans="1:23" ht="15" customHeight="1" x14ac:dyDescent="0.25">
      <c r="A20" s="5"/>
      <c r="B20" s="5"/>
      <c r="C20" s="5"/>
      <c r="D20" s="5"/>
      <c r="E20" s="5"/>
      <c r="F20" s="5"/>
      <c r="H20" s="41"/>
      <c r="I20" s="41"/>
      <c r="J20" s="41"/>
      <c r="K20" s="41"/>
      <c r="L20" s="41"/>
      <c r="S20" s="41"/>
      <c r="T20" s="41"/>
      <c r="U20" s="41"/>
      <c r="V20" s="41"/>
      <c r="W20" s="41"/>
    </row>
    <row r="21" spans="1:23" ht="15" customHeight="1" x14ac:dyDescent="0.25">
      <c r="A21" s="5"/>
      <c r="B21" s="5"/>
      <c r="C21" s="5"/>
      <c r="D21" s="5"/>
      <c r="E21" s="5"/>
      <c r="F21" s="5"/>
      <c r="H21" s="35" t="s">
        <v>41</v>
      </c>
      <c r="I21" s="36" t="s">
        <v>38</v>
      </c>
      <c r="J21" s="37" t="s">
        <v>40</v>
      </c>
      <c r="K21" s="35" t="s">
        <v>39</v>
      </c>
      <c r="L21" s="35" t="s">
        <v>45</v>
      </c>
      <c r="S21" s="35" t="s">
        <v>44</v>
      </c>
      <c r="T21" s="36" t="s">
        <v>38</v>
      </c>
      <c r="U21" s="37" t="s">
        <v>40</v>
      </c>
      <c r="V21" s="35" t="s">
        <v>39</v>
      </c>
      <c r="W21" s="35" t="s">
        <v>45</v>
      </c>
    </row>
    <row r="22" spans="1:23" ht="15" customHeight="1" x14ac:dyDescent="0.25">
      <c r="A22" s="5"/>
      <c r="B22" s="5"/>
      <c r="C22" s="5"/>
      <c r="D22" s="5"/>
      <c r="E22" s="5"/>
      <c r="F22" s="5"/>
      <c r="H22" s="62">
        <v>20</v>
      </c>
      <c r="I22" s="62">
        <v>3.1272020281120287</v>
      </c>
      <c r="J22" s="51">
        <v>0.51127920138272631</v>
      </c>
      <c r="K22" s="68">
        <v>0.25427398014158942</v>
      </c>
      <c r="L22" s="73">
        <v>0.1250000013623965</v>
      </c>
      <c r="S22" s="62">
        <v>1</v>
      </c>
      <c r="T22" s="62">
        <v>4.1891863498263646</v>
      </c>
      <c r="U22" s="51">
        <v>1.4245596834264225</v>
      </c>
      <c r="V22" s="68">
        <v>2.5438087545083983</v>
      </c>
      <c r="W22" s="73">
        <v>0.12500000076598225</v>
      </c>
    </row>
    <row r="23" spans="1:23" ht="15" customHeight="1" x14ac:dyDescent="0.25">
      <c r="A23" s="5"/>
      <c r="B23" s="5"/>
      <c r="C23" s="5"/>
      <c r="D23" s="5"/>
      <c r="E23" s="5"/>
      <c r="F23" s="5"/>
      <c r="H23" s="62">
        <v>30</v>
      </c>
      <c r="I23" s="62">
        <v>3.3693017563578018</v>
      </c>
      <c r="J23" s="51">
        <v>0.66066522339402689</v>
      </c>
      <c r="K23" s="68">
        <v>0.4222007934957912</v>
      </c>
      <c r="L23" s="73">
        <v>0.1250000019458983</v>
      </c>
      <c r="S23" s="62">
        <v>2</v>
      </c>
      <c r="T23" s="62">
        <v>4.6362894562590684</v>
      </c>
      <c r="U23" s="51">
        <v>1.1630514417866373</v>
      </c>
      <c r="V23" s="68">
        <v>1.6058809055977403</v>
      </c>
      <c r="W23" s="73">
        <v>0.12500000003750711</v>
      </c>
    </row>
    <row r="24" spans="1:23" ht="15" customHeight="1" x14ac:dyDescent="0.25">
      <c r="A24" s="5"/>
      <c r="B24" s="5"/>
      <c r="C24" s="5"/>
      <c r="D24" s="5"/>
      <c r="E24" s="5"/>
      <c r="F24" s="5"/>
      <c r="H24" s="62">
        <v>40</v>
      </c>
      <c r="I24" s="62">
        <v>3.5942827119325833</v>
      </c>
      <c r="J24" s="51">
        <v>0.77406161552967612</v>
      </c>
      <c r="K24" s="68">
        <v>0.5966140164178042</v>
      </c>
      <c r="L24" s="73">
        <v>0.12499999931306235</v>
      </c>
      <c r="S24" s="62">
        <v>3</v>
      </c>
      <c r="T24" s="62">
        <v>5.2695024476512113</v>
      </c>
      <c r="U24" s="51">
        <v>0.90032806365661822</v>
      </c>
      <c r="V24" s="68">
        <v>0.97664331540954796</v>
      </c>
      <c r="W24" s="73">
        <v>0.12499999787902603</v>
      </c>
    </row>
    <row r="25" spans="1:23" ht="15" customHeight="1" x14ac:dyDescent="0.25">
      <c r="A25" s="5"/>
      <c r="B25" s="5"/>
      <c r="C25" s="5"/>
      <c r="D25" s="5"/>
      <c r="E25" s="5"/>
      <c r="F25" s="5"/>
      <c r="H25" s="62">
        <v>50</v>
      </c>
      <c r="I25" s="62">
        <v>3.8009379887539008</v>
      </c>
      <c r="J25" s="51">
        <v>0.86522377461653777</v>
      </c>
      <c r="K25" s="68">
        <v>0.77154917337976081</v>
      </c>
      <c r="L25" s="73">
        <v>0.12500000056933822</v>
      </c>
      <c r="S25" s="62">
        <v>4</v>
      </c>
      <c r="T25" s="62">
        <v>6.1396712297854625</v>
      </c>
      <c r="U25" s="51">
        <v>0.66320803130345796</v>
      </c>
      <c r="V25" s="68">
        <v>0.61512113162020432</v>
      </c>
      <c r="W25" s="73">
        <v>0.12500000094336255</v>
      </c>
    </row>
    <row r="26" spans="1:23" ht="15" customHeight="1" x14ac:dyDescent="0.25">
      <c r="A26" s="5"/>
      <c r="B26" s="5"/>
      <c r="C26" s="5"/>
      <c r="D26" s="5"/>
      <c r="E26" s="5"/>
      <c r="F26" s="5"/>
      <c r="H26" s="62">
        <v>60</v>
      </c>
      <c r="I26" s="62">
        <v>3.9915009428741017</v>
      </c>
      <c r="J26" s="51">
        <v>0.94149666647335772</v>
      </c>
      <c r="K26" s="68">
        <v>0.94459336087785806</v>
      </c>
      <c r="L26" s="73">
        <v>0.1249999994259053</v>
      </c>
      <c r="S26" s="62">
        <v>5</v>
      </c>
      <c r="T26" s="62">
        <v>7.2305015675214994</v>
      </c>
      <c r="U26" s="51">
        <v>0.47819293947446712</v>
      </c>
      <c r="V26" s="68">
        <v>0.43008591734316992</v>
      </c>
      <c r="W26" s="73">
        <v>0.12500000025887584</v>
      </c>
    </row>
    <row r="27" spans="1:23" ht="15" customHeight="1" x14ac:dyDescent="0.25">
      <c r="A27" s="5"/>
      <c r="B27" s="5"/>
      <c r="C27" s="5"/>
      <c r="D27" s="5"/>
      <c r="E27" s="5"/>
      <c r="F27" s="5"/>
      <c r="H27" s="65">
        <v>70</v>
      </c>
      <c r="I27" s="65">
        <v>4.1684213279850439</v>
      </c>
      <c r="J27" s="52">
        <v>1.0071515606458619</v>
      </c>
      <c r="K27" s="69">
        <v>1.1147739790699913</v>
      </c>
      <c r="L27" s="74">
        <v>0.1249999999981109</v>
      </c>
      <c r="S27" s="65">
        <v>6</v>
      </c>
      <c r="T27" s="65">
        <v>8.4654337120568197</v>
      </c>
      <c r="U27" s="52">
        <v>0.3488522930269608</v>
      </c>
      <c r="V27" s="69">
        <v>0.33338426405350319</v>
      </c>
      <c r="W27" s="74">
        <v>0.12500000141823958</v>
      </c>
    </row>
    <row r="28" spans="1:23" ht="15" customHeight="1" x14ac:dyDescent="0.25">
      <c r="A28" s="5"/>
      <c r="B28" s="5"/>
      <c r="C28" s="5"/>
      <c r="D28" s="5"/>
      <c r="E28" s="5"/>
      <c r="F28" s="5"/>
    </row>
    <row r="29" spans="1:23" ht="15" customHeight="1" x14ac:dyDescent="0.25">
      <c r="A29" s="5"/>
      <c r="B29" s="5"/>
      <c r="C29" s="5"/>
      <c r="D29" s="5"/>
      <c r="E29" s="5"/>
      <c r="F29" s="5"/>
    </row>
    <row r="30" spans="1:23" ht="15" customHeight="1" x14ac:dyDescent="0.25">
      <c r="A30" s="5"/>
      <c r="B30" s="5"/>
      <c r="C30" s="5"/>
      <c r="D30" s="5"/>
      <c r="E30" s="5"/>
      <c r="F30" s="5"/>
    </row>
    <row r="31" spans="1:23" x14ac:dyDescent="0.25">
      <c r="A31" s="5"/>
      <c r="B31" s="5"/>
      <c r="C31" s="5"/>
      <c r="D31" s="5"/>
      <c r="E31" s="5"/>
      <c r="F31" s="5"/>
    </row>
    <row r="32" spans="1:23" x14ac:dyDescent="0.25">
      <c r="A32" s="5"/>
      <c r="B32" s="5"/>
      <c r="C32" s="5"/>
      <c r="D32" s="5"/>
      <c r="E32" s="5"/>
      <c r="F32" s="5"/>
    </row>
    <row r="33" spans="1:6" x14ac:dyDescent="0.25">
      <c r="A33" s="5"/>
      <c r="B33" s="5"/>
      <c r="C33" s="5"/>
      <c r="D33" s="5"/>
      <c r="E33" s="5"/>
      <c r="F33" s="5"/>
    </row>
    <row r="34" spans="1:6" x14ac:dyDescent="0.25">
      <c r="A34" s="5"/>
      <c r="B34" s="5"/>
      <c r="C34" s="5"/>
      <c r="D34" s="5"/>
      <c r="E34" s="5"/>
      <c r="F34" s="5"/>
    </row>
    <row r="35" spans="1:6" x14ac:dyDescent="0.25">
      <c r="A35" s="5"/>
      <c r="B35" s="5"/>
      <c r="C35" s="5"/>
      <c r="D35" s="5"/>
      <c r="E35" s="5"/>
      <c r="F35" s="5"/>
    </row>
    <row r="36" spans="1:6" x14ac:dyDescent="0.25">
      <c r="A36" s="5"/>
      <c r="B36" s="5"/>
      <c r="C36" s="5"/>
      <c r="D36" s="5"/>
      <c r="E36" s="5"/>
      <c r="F36" s="5"/>
    </row>
    <row r="37" spans="1:6" x14ac:dyDescent="0.25">
      <c r="A37" s="5"/>
      <c r="B37" s="5"/>
      <c r="C37" s="5"/>
      <c r="D37" s="5"/>
      <c r="E37" s="5"/>
      <c r="F37" s="5"/>
    </row>
    <row r="38" spans="1:6" x14ac:dyDescent="0.25">
      <c r="A38" s="5"/>
      <c r="B38" s="5"/>
      <c r="C38" s="5"/>
      <c r="D38" s="5"/>
      <c r="E38" s="5"/>
      <c r="F38" s="5"/>
    </row>
    <row r="39" spans="1:6" x14ac:dyDescent="0.25">
      <c r="A39" s="5"/>
      <c r="B39" s="5"/>
      <c r="C39" s="5"/>
      <c r="D39" s="5"/>
      <c r="E39" s="5"/>
      <c r="F39" s="5"/>
    </row>
    <row r="40" spans="1:6" x14ac:dyDescent="0.25">
      <c r="A40" s="5"/>
      <c r="B40" s="5"/>
      <c r="C40" s="5"/>
      <c r="D40" s="5"/>
      <c r="E40" s="5"/>
      <c r="F40" s="5"/>
    </row>
    <row r="41" spans="1:6" x14ac:dyDescent="0.25">
      <c r="A41" s="5"/>
      <c r="B41" s="5"/>
      <c r="C41" s="5"/>
      <c r="D41" s="5"/>
      <c r="E41" s="5"/>
      <c r="F41" s="5"/>
    </row>
    <row r="42" spans="1:6" x14ac:dyDescent="0.25">
      <c r="A42" s="5"/>
      <c r="B42" s="5"/>
      <c r="C42" s="5"/>
      <c r="D42" s="5"/>
      <c r="E42" s="5"/>
      <c r="F42" s="5"/>
    </row>
    <row r="43" spans="1:6" x14ac:dyDescent="0.25">
      <c r="A43" s="5"/>
      <c r="B43" s="5"/>
      <c r="C43" s="5"/>
      <c r="D43" s="5"/>
      <c r="E43" s="5"/>
      <c r="F43" s="5"/>
    </row>
    <row r="44" spans="1:6" x14ac:dyDescent="0.25">
      <c r="A44" s="5"/>
      <c r="B44" s="5"/>
      <c r="C44" s="5"/>
      <c r="D44" s="5"/>
      <c r="E44" s="5"/>
      <c r="F44" s="5"/>
    </row>
    <row r="45" spans="1:6" x14ac:dyDescent="0.25">
      <c r="A45" s="5"/>
      <c r="B45" s="5"/>
      <c r="C45" s="5"/>
      <c r="D45" s="5"/>
      <c r="E45" s="5"/>
      <c r="F45" s="5"/>
    </row>
    <row r="46" spans="1:6" x14ac:dyDescent="0.25">
      <c r="A46" s="5"/>
      <c r="B46" s="5"/>
      <c r="C46" s="5"/>
      <c r="D46" s="5"/>
      <c r="E46" s="5"/>
      <c r="F46" s="5"/>
    </row>
    <row r="47" spans="1:6" x14ac:dyDescent="0.25">
      <c r="A47" s="5"/>
      <c r="B47" s="5"/>
      <c r="C47" s="5"/>
      <c r="D47" s="5"/>
      <c r="E47" s="5"/>
      <c r="F47" s="5"/>
    </row>
    <row r="48" spans="1:6" x14ac:dyDescent="0.25">
      <c r="A48" s="5"/>
      <c r="B48" s="5"/>
      <c r="C48" s="5"/>
      <c r="D48" s="5"/>
      <c r="E48" s="5"/>
      <c r="F48" s="5"/>
    </row>
    <row r="49" spans="1:6" x14ac:dyDescent="0.25">
      <c r="A49" s="5"/>
      <c r="B49" s="5"/>
      <c r="C49" s="5"/>
      <c r="D49" s="5"/>
      <c r="E49" s="5"/>
      <c r="F49" s="5"/>
    </row>
    <row r="50" spans="1:6" x14ac:dyDescent="0.25">
      <c r="A50" s="5"/>
      <c r="B50" s="5"/>
      <c r="C50" s="5"/>
      <c r="D50" s="5"/>
      <c r="E50" s="5"/>
      <c r="F50" s="5"/>
    </row>
    <row r="51" spans="1:6" x14ac:dyDescent="0.25">
      <c r="A51" s="5"/>
      <c r="B51" s="5"/>
      <c r="C51" s="5"/>
      <c r="D51" s="5"/>
      <c r="E51" s="5"/>
      <c r="F51" s="5"/>
    </row>
    <row r="52" spans="1:6" x14ac:dyDescent="0.25">
      <c r="A52" s="5"/>
      <c r="B52" s="5"/>
      <c r="C52" s="5"/>
      <c r="D52" s="5"/>
      <c r="E52" s="5"/>
      <c r="F52" s="5"/>
    </row>
    <row r="53" spans="1:6" x14ac:dyDescent="0.25">
      <c r="A53" s="5"/>
      <c r="B53" s="5"/>
      <c r="C53" s="5"/>
      <c r="D53" s="5"/>
      <c r="E53" s="5"/>
      <c r="F53" s="5"/>
    </row>
    <row r="54" spans="1:6" x14ac:dyDescent="0.25">
      <c r="A54" s="5"/>
      <c r="B54" s="5"/>
      <c r="C54" s="5"/>
      <c r="D54" s="5"/>
      <c r="E54" s="5"/>
      <c r="F54" s="5"/>
    </row>
    <row r="55" spans="1:6" x14ac:dyDescent="0.25">
      <c r="A55" s="5"/>
      <c r="B55" s="5"/>
      <c r="C55" s="5"/>
      <c r="D55" s="5"/>
      <c r="E55" s="5"/>
      <c r="F55" s="5"/>
    </row>
    <row r="56" spans="1:6" x14ac:dyDescent="0.25">
      <c r="A56" s="5"/>
      <c r="B56" s="5"/>
      <c r="C56" s="5"/>
      <c r="D56" s="5"/>
      <c r="E56" s="5"/>
      <c r="F56" s="5"/>
    </row>
    <row r="57" spans="1:6" x14ac:dyDescent="0.25">
      <c r="A57" s="5"/>
      <c r="B57" s="5"/>
      <c r="C57" s="5"/>
      <c r="D57" s="5"/>
      <c r="E57" s="5"/>
      <c r="F57" s="5"/>
    </row>
    <row r="58" spans="1:6" x14ac:dyDescent="0.25">
      <c r="A58" s="5"/>
      <c r="B58" s="5"/>
      <c r="C58" s="5"/>
      <c r="D58" s="5"/>
      <c r="E58" s="5"/>
      <c r="F58" s="5"/>
    </row>
    <row r="59" spans="1:6" x14ac:dyDescent="0.25">
      <c r="A59" s="5"/>
      <c r="B59" s="5"/>
      <c r="C59" s="5"/>
      <c r="D59" s="5"/>
      <c r="E59" s="5"/>
      <c r="F59" s="5"/>
    </row>
    <row r="60" spans="1:6" x14ac:dyDescent="0.25">
      <c r="A60" s="5"/>
      <c r="B60" s="5"/>
      <c r="C60" s="5"/>
      <c r="D60" s="5"/>
      <c r="E60" s="5"/>
      <c r="F60" s="5"/>
    </row>
    <row r="61" spans="1:6" x14ac:dyDescent="0.25">
      <c r="A61" s="5"/>
      <c r="B61" s="5"/>
      <c r="C61" s="5"/>
      <c r="D61" s="5"/>
      <c r="E61" s="5"/>
      <c r="F61" s="5"/>
    </row>
    <row r="62" spans="1:6" x14ac:dyDescent="0.25">
      <c r="A62" s="5"/>
      <c r="B62" s="5"/>
      <c r="C62" s="5"/>
      <c r="D62" s="5"/>
      <c r="E62" s="5"/>
      <c r="F62" s="5"/>
    </row>
    <row r="63" spans="1:6" x14ac:dyDescent="0.25">
      <c r="A63" s="5"/>
      <c r="B63" s="5"/>
      <c r="C63" s="5"/>
      <c r="D63" s="5"/>
      <c r="E63" s="5"/>
      <c r="F63" s="5"/>
    </row>
    <row r="64" spans="1:6" x14ac:dyDescent="0.25">
      <c r="A64" s="5"/>
      <c r="B64" s="5"/>
      <c r="C64" s="5"/>
      <c r="D64" s="5"/>
      <c r="E64" s="5"/>
      <c r="F64" s="5"/>
    </row>
    <row r="65" spans="1:6" x14ac:dyDescent="0.25">
      <c r="A65" s="5"/>
      <c r="B65" s="5"/>
      <c r="C65" s="5"/>
      <c r="D65" s="5"/>
      <c r="E65" s="5"/>
      <c r="F65" s="5"/>
    </row>
    <row r="66" spans="1:6" x14ac:dyDescent="0.25">
      <c r="A66" s="5"/>
      <c r="B66" s="5"/>
      <c r="C66" s="5"/>
      <c r="D66" s="5"/>
      <c r="E66" s="5"/>
      <c r="F66" s="5"/>
    </row>
    <row r="67" spans="1:6" x14ac:dyDescent="0.25">
      <c r="A67" s="5"/>
      <c r="B67" s="5"/>
      <c r="C67" s="5"/>
      <c r="D67" s="5"/>
      <c r="E67" s="5"/>
      <c r="F67" s="5"/>
    </row>
    <row r="68" spans="1:6" x14ac:dyDescent="0.25">
      <c r="A68" s="5"/>
      <c r="B68" s="5"/>
      <c r="C68" s="5"/>
      <c r="D68" s="5"/>
      <c r="E68" s="5"/>
      <c r="F68" s="5"/>
    </row>
    <row r="69" spans="1:6" x14ac:dyDescent="0.25">
      <c r="A69" s="5"/>
      <c r="B69" s="5"/>
      <c r="C69" s="5"/>
      <c r="D69" s="5"/>
      <c r="E69" s="5"/>
      <c r="F69" s="5"/>
    </row>
    <row r="70" spans="1:6" x14ac:dyDescent="0.25">
      <c r="A70" s="5"/>
      <c r="B70" s="5"/>
      <c r="C70" s="5"/>
      <c r="D70" s="5"/>
      <c r="E70" s="5"/>
      <c r="F70" s="5"/>
    </row>
    <row r="71" spans="1:6" x14ac:dyDescent="0.25">
      <c r="A71" s="5"/>
      <c r="B71" s="5"/>
      <c r="C71" s="5"/>
      <c r="D71" s="5"/>
      <c r="E71" s="5"/>
      <c r="F71" s="5"/>
    </row>
    <row r="72" spans="1:6" x14ac:dyDescent="0.25">
      <c r="A72" s="5"/>
      <c r="B72" s="5"/>
      <c r="C72" s="5"/>
      <c r="D72" s="5"/>
      <c r="E72" s="5"/>
      <c r="F72" s="5"/>
    </row>
    <row r="73" spans="1:6" x14ac:dyDescent="0.25">
      <c r="A73" s="5"/>
      <c r="B73" s="5"/>
      <c r="C73" s="5"/>
      <c r="D73" s="5"/>
      <c r="E73" s="5"/>
      <c r="F73" s="5"/>
    </row>
    <row r="74" spans="1:6" x14ac:dyDescent="0.25">
      <c r="A74" s="5"/>
      <c r="B74" s="5"/>
      <c r="C74" s="5"/>
      <c r="D74" s="5"/>
      <c r="E74" s="5"/>
      <c r="F74" s="5"/>
    </row>
    <row r="75" spans="1:6" x14ac:dyDescent="0.25">
      <c r="A75" s="5"/>
      <c r="B75" s="5"/>
      <c r="C75" s="5"/>
      <c r="D75" s="5"/>
      <c r="E75" s="5"/>
      <c r="F75" s="5"/>
    </row>
    <row r="76" spans="1:6" x14ac:dyDescent="0.25">
      <c r="A76" s="5"/>
      <c r="B76" s="5"/>
      <c r="C76" s="5"/>
      <c r="D76" s="5"/>
      <c r="E76" s="5"/>
      <c r="F76" s="5"/>
    </row>
    <row r="77" spans="1:6" x14ac:dyDescent="0.25">
      <c r="A77" s="5"/>
      <c r="B77" s="5"/>
      <c r="C77" s="5"/>
      <c r="D77" s="5"/>
      <c r="E77" s="5"/>
      <c r="F77" s="5"/>
    </row>
    <row r="78" spans="1:6" x14ac:dyDescent="0.25">
      <c r="A78" s="5"/>
      <c r="B78" s="5"/>
      <c r="C78" s="5"/>
      <c r="D78" s="5"/>
      <c r="E78" s="5"/>
      <c r="F78" s="5"/>
    </row>
    <row r="79" spans="1:6" x14ac:dyDescent="0.25">
      <c r="A79" s="5"/>
      <c r="B79" s="5"/>
      <c r="C79" s="5"/>
      <c r="D79" s="5"/>
      <c r="E79" s="5"/>
      <c r="F79" s="5"/>
    </row>
    <row r="80" spans="1:6" x14ac:dyDescent="0.25">
      <c r="A80" s="5"/>
      <c r="B80" s="5"/>
      <c r="C80" s="5"/>
      <c r="D80" s="5"/>
      <c r="E80" s="5"/>
      <c r="F80" s="5"/>
    </row>
    <row r="81" spans="1:6" x14ac:dyDescent="0.25">
      <c r="A81" s="5"/>
      <c r="B81" s="5"/>
      <c r="C81" s="5"/>
      <c r="D81" s="5"/>
      <c r="E81" s="5"/>
      <c r="F81" s="5"/>
    </row>
    <row r="82" spans="1:6" x14ac:dyDescent="0.25">
      <c r="A82" s="5"/>
      <c r="B82" s="5"/>
      <c r="C82" s="5"/>
      <c r="D82" s="5"/>
      <c r="E82" s="5"/>
      <c r="F82" s="5"/>
    </row>
    <row r="83" spans="1:6" x14ac:dyDescent="0.25">
      <c r="A83" s="5"/>
      <c r="B83" s="5"/>
      <c r="C83" s="5"/>
      <c r="D83" s="5"/>
      <c r="E83" s="5"/>
      <c r="F83" s="5"/>
    </row>
    <row r="84" spans="1:6" x14ac:dyDescent="0.25">
      <c r="A84" s="5"/>
      <c r="B84" s="5"/>
      <c r="C84" s="5"/>
      <c r="D84" s="5"/>
      <c r="E84" s="5"/>
      <c r="F84" s="5"/>
    </row>
    <row r="85" spans="1:6" x14ac:dyDescent="0.25">
      <c r="A85" s="5"/>
      <c r="B85" s="5"/>
      <c r="C85" s="5"/>
      <c r="D85" s="5"/>
      <c r="E85" s="5"/>
      <c r="F85" s="5"/>
    </row>
    <row r="86" spans="1:6" x14ac:dyDescent="0.25">
      <c r="A86" s="5"/>
      <c r="B86" s="5"/>
      <c r="C86" s="5"/>
      <c r="D86" s="5"/>
      <c r="E86" s="5"/>
      <c r="F86" s="5"/>
    </row>
    <row r="87" spans="1:6" x14ac:dyDescent="0.25">
      <c r="A87" s="5"/>
      <c r="B87" s="5"/>
      <c r="C87" s="5"/>
      <c r="D87" s="5"/>
      <c r="E87" s="5"/>
      <c r="F87" s="5"/>
    </row>
    <row r="88" spans="1:6" x14ac:dyDescent="0.25">
      <c r="A88" s="5"/>
      <c r="B88" s="5"/>
      <c r="C88" s="5"/>
      <c r="D88" s="5"/>
      <c r="E88" s="5"/>
      <c r="F88" s="5"/>
    </row>
    <row r="89" spans="1:6" x14ac:dyDescent="0.25">
      <c r="A89" s="5"/>
      <c r="B89" s="5"/>
      <c r="C89" s="5"/>
      <c r="D89" s="5"/>
      <c r="E89" s="5"/>
      <c r="F89" s="5"/>
    </row>
    <row r="90" spans="1:6" x14ac:dyDescent="0.25">
      <c r="A90" s="5"/>
      <c r="B90" s="5"/>
      <c r="C90" s="5"/>
      <c r="D90" s="5"/>
      <c r="E90" s="5"/>
      <c r="F90" s="5"/>
    </row>
    <row r="91" spans="1:6" x14ac:dyDescent="0.25">
      <c r="A91" s="5"/>
      <c r="B91" s="5"/>
      <c r="C91" s="5"/>
      <c r="D91" s="5"/>
      <c r="E91" s="5"/>
      <c r="F91" s="5"/>
    </row>
    <row r="92" spans="1:6" x14ac:dyDescent="0.25">
      <c r="A92" s="5"/>
      <c r="B92" s="5"/>
      <c r="C92" s="5"/>
      <c r="D92" s="5"/>
      <c r="E92" s="5"/>
      <c r="F92" s="5"/>
    </row>
    <row r="93" spans="1:6" x14ac:dyDescent="0.25">
      <c r="A93" s="5"/>
      <c r="B93" s="5"/>
      <c r="C93" s="5"/>
      <c r="D93" s="5"/>
      <c r="E93" s="5"/>
      <c r="F93" s="5"/>
    </row>
    <row r="94" spans="1:6" x14ac:dyDescent="0.25">
      <c r="A94" s="5"/>
      <c r="B94" s="5"/>
      <c r="C94" s="5"/>
      <c r="D94" s="5"/>
      <c r="E94" s="5"/>
      <c r="F94" s="5"/>
    </row>
    <row r="95" spans="1:6" x14ac:dyDescent="0.25">
      <c r="A95" s="5"/>
      <c r="B95" s="5"/>
      <c r="C95" s="5"/>
      <c r="D95" s="5"/>
      <c r="E95" s="5"/>
      <c r="F95" s="5"/>
    </row>
    <row r="96" spans="1:6" x14ac:dyDescent="0.25">
      <c r="A96" s="5"/>
      <c r="B96" s="5"/>
      <c r="C96" s="5"/>
      <c r="D96" s="5"/>
      <c r="E96" s="5"/>
      <c r="F96" s="5"/>
    </row>
    <row r="97" spans="1:6" x14ac:dyDescent="0.25">
      <c r="A97" s="5"/>
      <c r="B97" s="5"/>
      <c r="C97" s="5"/>
      <c r="D97" s="5"/>
      <c r="E97" s="5"/>
      <c r="F97" s="5"/>
    </row>
    <row r="98" spans="1:6" x14ac:dyDescent="0.25">
      <c r="A98" s="5"/>
      <c r="B98" s="5"/>
      <c r="C98" s="5"/>
      <c r="D98" s="5"/>
      <c r="E98" s="5"/>
      <c r="F98" s="5"/>
    </row>
    <row r="99" spans="1:6" x14ac:dyDescent="0.25">
      <c r="A99" s="5"/>
      <c r="B99" s="5"/>
      <c r="C99" s="5"/>
      <c r="D99" s="5"/>
      <c r="E99" s="5"/>
      <c r="F99" s="5"/>
    </row>
    <row r="100" spans="1:6" x14ac:dyDescent="0.25">
      <c r="A100" s="5"/>
      <c r="B100" s="5"/>
      <c r="C100" s="5"/>
      <c r="D100" s="5"/>
      <c r="E100" s="5"/>
      <c r="F100" s="5"/>
    </row>
    <row r="101" spans="1:6" x14ac:dyDescent="0.25">
      <c r="A101" s="5"/>
      <c r="B101" s="5"/>
      <c r="C101" s="5"/>
      <c r="D101" s="5"/>
      <c r="E101" s="5"/>
      <c r="F101" s="5"/>
    </row>
    <row r="102" spans="1:6" x14ac:dyDescent="0.25">
      <c r="A102" s="5"/>
      <c r="B102" s="5"/>
      <c r="C102" s="5"/>
      <c r="D102" s="5"/>
      <c r="E102" s="5"/>
      <c r="F102" s="5"/>
    </row>
    <row r="103" spans="1:6" x14ac:dyDescent="0.25">
      <c r="A103" s="5"/>
      <c r="B103" s="5"/>
      <c r="C103" s="5"/>
      <c r="D103" s="5"/>
      <c r="E103" s="5"/>
      <c r="F103" s="5"/>
    </row>
    <row r="104" spans="1:6" x14ac:dyDescent="0.25">
      <c r="A104" s="5"/>
      <c r="B104" s="5"/>
      <c r="C104" s="5"/>
      <c r="D104" s="5"/>
      <c r="E104" s="5"/>
      <c r="F104" s="5"/>
    </row>
    <row r="105" spans="1:6" x14ac:dyDescent="0.25">
      <c r="A105" s="5"/>
      <c r="B105" s="5"/>
      <c r="C105" s="5"/>
      <c r="D105" s="5"/>
      <c r="E105" s="5"/>
      <c r="F105" s="5"/>
    </row>
    <row r="106" spans="1:6" x14ac:dyDescent="0.25">
      <c r="A106" s="5"/>
      <c r="B106" s="5"/>
      <c r="C106" s="5"/>
      <c r="D106" s="5"/>
      <c r="E106" s="5"/>
      <c r="F106" s="5"/>
    </row>
    <row r="107" spans="1:6" x14ac:dyDescent="0.25">
      <c r="A107" s="5"/>
      <c r="B107" s="5"/>
      <c r="C107" s="5"/>
      <c r="D107" s="5"/>
      <c r="E107" s="5"/>
      <c r="F107" s="5"/>
    </row>
    <row r="108" spans="1:6" x14ac:dyDescent="0.25">
      <c r="A108" s="5"/>
      <c r="B108" s="5"/>
      <c r="C108" s="5"/>
      <c r="D108" s="5"/>
      <c r="E108" s="5"/>
      <c r="F108" s="5"/>
    </row>
    <row r="109" spans="1:6" x14ac:dyDescent="0.25">
      <c r="A109" s="5"/>
      <c r="B109" s="5"/>
      <c r="C109" s="5"/>
      <c r="D109" s="5"/>
      <c r="E109" s="5"/>
      <c r="F109" s="5"/>
    </row>
    <row r="110" spans="1:6" x14ac:dyDescent="0.25">
      <c r="A110" s="5"/>
      <c r="B110" s="5"/>
      <c r="C110" s="5"/>
      <c r="D110" s="5"/>
      <c r="E110" s="5"/>
      <c r="F110" s="5"/>
    </row>
    <row r="111" spans="1:6" x14ac:dyDescent="0.25">
      <c r="A111" s="5"/>
      <c r="B111" s="5"/>
      <c r="C111" s="5"/>
      <c r="D111" s="5"/>
      <c r="E111" s="5"/>
      <c r="F111" s="5"/>
    </row>
    <row r="112" spans="1:6" x14ac:dyDescent="0.25">
      <c r="A112" s="5"/>
      <c r="B112" s="5"/>
      <c r="C112" s="5"/>
      <c r="D112" s="5"/>
      <c r="E112" s="5"/>
      <c r="F112" s="5"/>
    </row>
    <row r="113" spans="1:6" x14ac:dyDescent="0.25">
      <c r="A113" s="5"/>
      <c r="B113" s="5"/>
      <c r="C113" s="5"/>
      <c r="D113" s="5"/>
      <c r="E113" s="5"/>
      <c r="F113" s="5"/>
    </row>
    <row r="114" spans="1:6" x14ac:dyDescent="0.25">
      <c r="A114" s="5"/>
      <c r="B114" s="5"/>
      <c r="C114" s="5"/>
      <c r="D114" s="5"/>
      <c r="E114" s="5"/>
      <c r="F114" s="5"/>
    </row>
    <row r="115" spans="1:6" x14ac:dyDescent="0.25">
      <c r="A115" s="5"/>
      <c r="B115" s="5"/>
      <c r="C115" s="5"/>
      <c r="D115" s="5"/>
      <c r="E115" s="5"/>
      <c r="F115" s="5"/>
    </row>
    <row r="116" spans="1:6" x14ac:dyDescent="0.25">
      <c r="A116" s="5"/>
      <c r="B116" s="5"/>
      <c r="C116" s="5"/>
      <c r="D116" s="5"/>
      <c r="E116" s="5"/>
      <c r="F116" s="5"/>
    </row>
    <row r="117" spans="1:6" x14ac:dyDescent="0.25">
      <c r="A117" s="5"/>
      <c r="B117" s="5"/>
      <c r="C117" s="5"/>
      <c r="D117" s="5"/>
      <c r="E117" s="5"/>
      <c r="F117" s="5"/>
    </row>
  </sheetData>
  <mergeCells count="1">
    <mergeCell ref="B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cro3">
                <anchor moveWithCells="1" sizeWithCells="1">
                  <from>
                    <xdr:col>1</xdr:col>
                    <xdr:colOff>19050</xdr:colOff>
                    <xdr:row>19</xdr:row>
                    <xdr:rowOff>76200</xdr:rowOff>
                  </from>
                  <to>
                    <xdr:col>4</xdr:col>
                    <xdr:colOff>752475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>
                <anchor moveWithCells="1" sizeWithCells="1">
                  <from>
                    <xdr:col>10</xdr:col>
                    <xdr:colOff>9525</xdr:colOff>
                    <xdr:row>7</xdr:row>
                    <xdr:rowOff>38100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ensibilidad_Impuesto">
                <anchor moveWithCells="1" sizeWithCells="1">
                  <from>
                    <xdr:col>10</xdr:col>
                    <xdr:colOff>0</xdr:colOff>
                    <xdr:row>17</xdr:row>
                    <xdr:rowOff>57150</xdr:rowOff>
                  </from>
                  <to>
                    <xdr:col>11</xdr:col>
                    <xdr:colOff>752475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Sensibilidad_Tamaño">
                <anchor moveWithCells="1" sizeWithCells="1">
                  <from>
                    <xdr:col>10</xdr:col>
                    <xdr:colOff>9525</xdr:colOff>
                    <xdr:row>27</xdr:row>
                    <xdr:rowOff>57150</xdr:rowOff>
                  </from>
                  <to>
                    <xdr:col>12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Sensibilidad_CostoCuadratico">
                <anchor moveWithCells="1" sizeWithCells="1">
                  <from>
                    <xdr:col>18</xdr:col>
                    <xdr:colOff>0</xdr:colOff>
                    <xdr:row>7</xdr:row>
                    <xdr:rowOff>38100</xdr:rowOff>
                  </from>
                  <to>
                    <xdr:col>20</xdr:col>
                    <xdr:colOff>9525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Button 7">
              <controlPr defaultSize="0" print="0" autoFill="0" autoPict="0" macro="[0]!Sensibilidad_CostoLineal">
                <anchor moveWithCells="1" sizeWithCells="1">
                  <from>
                    <xdr:col>18</xdr:col>
                    <xdr:colOff>9525</xdr:colOff>
                    <xdr:row>17</xdr:row>
                    <xdr:rowOff>57150</xdr:rowOff>
                  </from>
                  <to>
                    <xdr:col>20</xdr:col>
                    <xdr:colOff>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9" name="Button 8">
              <controlPr defaultSize="0" print="0" autoFill="0" autoPict="0" macro="[0]!Sensibilidad_CostoConstante">
                <anchor moveWithCells="1" sizeWithCells="1">
                  <from>
                    <xdr:col>18</xdr:col>
                    <xdr:colOff>0</xdr:colOff>
                    <xdr:row>27</xdr:row>
                    <xdr:rowOff>57150</xdr:rowOff>
                  </from>
                  <to>
                    <xdr:col>20</xdr:col>
                    <xdr:colOff>9525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" name="Button 9">
              <controlPr defaultSize="0" print="0" autoFill="0" autoPict="0" macro="[0]!Sensibilidad_NumeroFirmas">
                <anchor moveWithCells="1" sizeWithCells="1">
                  <from>
                    <xdr:col>29</xdr:col>
                    <xdr:colOff>0</xdr:colOff>
                    <xdr:row>7</xdr:row>
                    <xdr:rowOff>66675</xdr:rowOff>
                  </from>
                  <to>
                    <xdr:col>31</xdr:col>
                    <xdr:colOff>9525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3E31D-E5F0-4482-98EF-237C3386CEA8}">
  <sheetPr codeName="Hoja11">
    <tabColor rgb="FF0070C0"/>
  </sheetPr>
  <dimension ref="A1"/>
  <sheetViews>
    <sheetView showGridLines="0" showRowColHeaders="0" zoomScaleNormal="10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9603A-BAD6-48CC-B498-D13C2E15FC15}">
  <sheetPr codeName="Hoja5">
    <tabColor rgb="FF0070C0"/>
  </sheetPr>
  <dimension ref="A1:BB285"/>
  <sheetViews>
    <sheetView showGridLines="0" showRowColHeaders="0" zoomScale="80" zoomScaleNormal="80" workbookViewId="0"/>
  </sheetViews>
  <sheetFormatPr baseColWidth="10" defaultRowHeight="15" x14ac:dyDescent="0.25"/>
  <cols>
    <col min="1" max="1" width="6.7109375" customWidth="1"/>
    <col min="2" max="5" width="11.7109375" customWidth="1"/>
    <col min="6" max="6" width="6.7109375" customWidth="1"/>
    <col min="7" max="7" width="10.7109375" customWidth="1"/>
    <col min="8" max="8" width="6.7109375" customWidth="1"/>
    <col min="9" max="12" width="11.7109375" customWidth="1"/>
    <col min="13" max="13" width="6.7109375" customWidth="1"/>
    <col min="14" max="14" width="10.7109375" customWidth="1"/>
    <col min="15" max="15" width="6.7109375" customWidth="1"/>
    <col min="16" max="18" width="11.7109375" customWidth="1"/>
    <col min="19" max="19" width="6.7109375" customWidth="1"/>
  </cols>
  <sheetData>
    <row r="1" spans="1:54" x14ac:dyDescent="0.25">
      <c r="A1" s="44"/>
      <c r="B1" s="233" t="s">
        <v>50</v>
      </c>
      <c r="C1" s="233"/>
      <c r="D1" s="233"/>
      <c r="E1" s="233"/>
      <c r="F1" s="44"/>
      <c r="G1" s="5"/>
      <c r="H1" s="44"/>
      <c r="I1" s="233" t="s">
        <v>51</v>
      </c>
      <c r="J1" s="233"/>
      <c r="K1" s="233"/>
      <c r="L1" s="233"/>
      <c r="M1" s="44"/>
      <c r="N1" s="5"/>
      <c r="O1" s="44"/>
      <c r="P1" s="233" t="s">
        <v>26</v>
      </c>
      <c r="Q1" s="233"/>
      <c r="R1" s="233"/>
      <c r="S1" s="44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</row>
    <row r="2" spans="1:54" x14ac:dyDescent="0.25">
      <c r="A2" s="44"/>
      <c r="B2" s="7"/>
      <c r="C2" s="8"/>
      <c r="D2" s="14" t="s">
        <v>28</v>
      </c>
      <c r="E2" s="15">
        <v>100</v>
      </c>
      <c r="F2" s="44"/>
      <c r="G2" s="5"/>
      <c r="H2" s="44"/>
      <c r="I2" s="7"/>
      <c r="J2" s="8"/>
      <c r="K2" s="46" t="s">
        <v>28</v>
      </c>
      <c r="L2" s="47">
        <v>100</v>
      </c>
      <c r="M2" s="44"/>
      <c r="N2" s="5"/>
      <c r="O2" s="44"/>
      <c r="P2" s="5"/>
      <c r="Q2" s="3" t="s">
        <v>68</v>
      </c>
      <c r="R2" s="23">
        <f>(L14/E11)-1</f>
        <v>-1.307673589750924E-3</v>
      </c>
      <c r="S2" s="44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</row>
    <row r="3" spans="1:54" x14ac:dyDescent="0.25">
      <c r="A3" s="44"/>
      <c r="B3" s="8"/>
      <c r="C3" s="8"/>
      <c r="D3" s="21" t="s">
        <v>29</v>
      </c>
      <c r="E3" s="10">
        <v>2</v>
      </c>
      <c r="F3" s="44"/>
      <c r="G3" s="5"/>
      <c r="H3" s="44"/>
      <c r="I3" s="8"/>
      <c r="J3" s="8"/>
      <c r="K3" s="21" t="s">
        <v>29</v>
      </c>
      <c r="L3" s="10">
        <v>2</v>
      </c>
      <c r="M3" s="44"/>
      <c r="N3" s="5"/>
      <c r="O3" s="44"/>
      <c r="P3" s="5"/>
      <c r="Q3" s="3" t="s">
        <v>69</v>
      </c>
      <c r="R3" s="23">
        <f>(L13/C10)-1</f>
        <v>2.6204861693386317E-3</v>
      </c>
      <c r="S3" s="44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</row>
    <row r="4" spans="1:54" x14ac:dyDescent="0.25">
      <c r="A4" s="44"/>
      <c r="B4" s="7"/>
      <c r="C4" s="8"/>
      <c r="D4" s="9" t="s">
        <v>11</v>
      </c>
      <c r="E4" s="10">
        <v>1</v>
      </c>
      <c r="F4" s="44"/>
      <c r="G4" s="5"/>
      <c r="H4" s="44"/>
      <c r="I4" s="7"/>
      <c r="J4" s="8"/>
      <c r="K4" s="16" t="s">
        <v>17</v>
      </c>
      <c r="L4" s="20">
        <v>0.21</v>
      </c>
      <c r="M4" s="44"/>
      <c r="N4" s="5"/>
      <c r="O4" s="44"/>
      <c r="P4" s="5"/>
      <c r="Q4" s="3" t="s">
        <v>34</v>
      </c>
      <c r="R4" s="17">
        <f>K21/D16-1</f>
        <v>0.35599245830348547</v>
      </c>
      <c r="S4" s="44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</row>
    <row r="5" spans="1:54" x14ac:dyDescent="0.25">
      <c r="A5" s="44"/>
      <c r="B5" s="5"/>
      <c r="C5" s="5"/>
      <c r="D5" s="12" t="s">
        <v>12</v>
      </c>
      <c r="E5" s="13">
        <v>0</v>
      </c>
      <c r="F5" s="44"/>
      <c r="G5" s="5"/>
      <c r="H5" s="44"/>
      <c r="I5" s="5"/>
      <c r="J5" s="5"/>
      <c r="K5" s="5"/>
      <c r="L5" s="5"/>
      <c r="M5" s="44"/>
      <c r="N5" s="5"/>
      <c r="O5" s="44"/>
      <c r="P5" s="5"/>
      <c r="Q5" s="5"/>
      <c r="R5" s="5"/>
      <c r="S5" s="44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</row>
    <row r="6" spans="1:54" ht="15.75" thickBot="1" x14ac:dyDescent="0.3">
      <c r="A6" s="44"/>
      <c r="B6" s="5"/>
      <c r="C6" s="5"/>
      <c r="D6" s="9" t="s">
        <v>13</v>
      </c>
      <c r="E6" s="10">
        <v>5</v>
      </c>
      <c r="F6" s="44"/>
      <c r="G6" s="5"/>
      <c r="H6" s="44"/>
      <c r="I6" s="237" t="s">
        <v>61</v>
      </c>
      <c r="J6" s="237"/>
      <c r="K6" s="237"/>
      <c r="L6" s="237"/>
      <c r="M6" s="44"/>
      <c r="N6" s="5"/>
      <c r="O6" s="44"/>
      <c r="P6" s="5"/>
      <c r="Q6" s="3" t="s">
        <v>33</v>
      </c>
      <c r="R6" s="23">
        <f>K25/D20-1</f>
        <v>2.8421374241089925E-3</v>
      </c>
      <c r="S6" s="44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</row>
    <row r="7" spans="1:54" ht="15.75" thickTop="1" x14ac:dyDescent="0.25">
      <c r="A7" s="44"/>
      <c r="B7" s="5"/>
      <c r="C7" s="5"/>
      <c r="D7" s="16" t="s">
        <v>17</v>
      </c>
      <c r="E7" s="20">
        <v>0.21</v>
      </c>
      <c r="F7" s="44"/>
      <c r="G7" s="5"/>
      <c r="H7" s="44"/>
      <c r="I7" s="9" t="s">
        <v>11</v>
      </c>
      <c r="J7" s="10">
        <f>E4</f>
        <v>1</v>
      </c>
      <c r="K7" s="12" t="s">
        <v>12</v>
      </c>
      <c r="L7" s="13">
        <f>E5</f>
        <v>0</v>
      </c>
      <c r="M7" s="44"/>
      <c r="N7" s="5"/>
      <c r="O7" s="44"/>
      <c r="P7" s="5"/>
      <c r="Q7" s="3" t="s">
        <v>54</v>
      </c>
      <c r="R7" s="23">
        <f>K26/D21-1</f>
        <v>1.7425523587691671E-2</v>
      </c>
      <c r="S7" s="44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</row>
    <row r="8" spans="1:54" x14ac:dyDescent="0.25">
      <c r="A8" s="44"/>
      <c r="B8" s="5"/>
      <c r="C8" s="5"/>
      <c r="D8" s="9" t="s">
        <v>46</v>
      </c>
      <c r="E8" s="10">
        <v>4</v>
      </c>
      <c r="F8" s="44"/>
      <c r="G8" s="5"/>
      <c r="H8" s="44"/>
      <c r="I8" s="9" t="s">
        <v>13</v>
      </c>
      <c r="J8" s="10">
        <f>E6</f>
        <v>5</v>
      </c>
      <c r="K8" s="9" t="s">
        <v>46</v>
      </c>
      <c r="L8" s="10">
        <v>2</v>
      </c>
      <c r="M8" s="44"/>
      <c r="N8" s="5"/>
      <c r="O8" s="44"/>
      <c r="P8" s="5"/>
      <c r="Q8" s="3" t="s">
        <v>56</v>
      </c>
      <c r="R8" s="23">
        <f>(K27/D22)-1</f>
        <v>1.3093858390322843E-3</v>
      </c>
      <c r="S8" s="44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</row>
    <row r="9" spans="1:54" ht="15.75" thickBot="1" x14ac:dyDescent="0.3">
      <c r="A9" s="44"/>
      <c r="B9" s="5"/>
      <c r="C9" s="5"/>
      <c r="D9" s="5"/>
      <c r="E9" s="5"/>
      <c r="F9" s="44"/>
      <c r="G9" s="5"/>
      <c r="H9" s="44"/>
      <c r="I9" s="238" t="s">
        <v>62</v>
      </c>
      <c r="J9" s="238"/>
      <c r="K9" s="238"/>
      <c r="L9" s="238"/>
      <c r="M9" s="44"/>
      <c r="N9" s="5"/>
      <c r="O9" s="44"/>
      <c r="S9" s="44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</row>
    <row r="10" spans="1:54" ht="15.75" thickTop="1" x14ac:dyDescent="0.25">
      <c r="A10" s="44"/>
      <c r="B10" s="3" t="s">
        <v>1</v>
      </c>
      <c r="C10" s="6">
        <f>E10*E8</f>
        <v>1.9127717578977024</v>
      </c>
      <c r="D10" s="3" t="s">
        <v>47</v>
      </c>
      <c r="E10" s="6">
        <v>0.47819293947442559</v>
      </c>
      <c r="F10" s="44"/>
      <c r="G10" s="5"/>
      <c r="H10" s="44"/>
      <c r="I10" s="9" t="s">
        <v>11</v>
      </c>
      <c r="J10" s="10">
        <v>0.5</v>
      </c>
      <c r="K10" s="12" t="s">
        <v>12</v>
      </c>
      <c r="L10" s="13">
        <v>0</v>
      </c>
      <c r="M10" s="44"/>
      <c r="N10" s="5"/>
      <c r="O10" s="44"/>
      <c r="Q10" s="3" t="s">
        <v>122</v>
      </c>
      <c r="R10">
        <f>( E8*(E10/C10)^2 ) * 10000</f>
        <v>2500</v>
      </c>
      <c r="S10" s="44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</row>
    <row r="11" spans="1:54" x14ac:dyDescent="0.25">
      <c r="A11" s="44"/>
      <c r="B11" s="3" t="s">
        <v>22</v>
      </c>
      <c r="C11" s="6">
        <f>E12 * (1 - 1/(E8*E3) )</f>
        <v>5.2286684889104027</v>
      </c>
      <c r="D11" s="3" t="s">
        <v>8</v>
      </c>
      <c r="E11" s="6">
        <f>(C10/E2)^(-1/E3)</f>
        <v>7.2305015675218129</v>
      </c>
      <c r="F11" s="44"/>
      <c r="G11" s="5"/>
      <c r="H11" s="44"/>
      <c r="I11" s="9" t="s">
        <v>13</v>
      </c>
      <c r="J11" s="10">
        <v>4</v>
      </c>
      <c r="K11" s="9" t="s">
        <v>46</v>
      </c>
      <c r="L11" s="10">
        <v>1</v>
      </c>
      <c r="M11" s="44"/>
      <c r="N11" s="5"/>
      <c r="O11" s="44"/>
      <c r="Q11" s="3" t="s">
        <v>123</v>
      </c>
      <c r="R11" s="97">
        <f>( (L17/L13)^2 + L8*(L18/L13)^2 ) * 10000</f>
        <v>3766.8164396447055</v>
      </c>
      <c r="S11" s="44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</row>
    <row r="12" spans="1:54" x14ac:dyDescent="0.25">
      <c r="A12" s="44"/>
      <c r="B12" s="3" t="s">
        <v>4</v>
      </c>
      <c r="C12" s="6">
        <f>E4*E10^2-E5*E10+E6</f>
        <v>5.2286684873631915</v>
      </c>
      <c r="D12" s="3" t="s">
        <v>9</v>
      </c>
      <c r="E12" s="6">
        <f>E11/(1+E7)</f>
        <v>5.9756211301833169</v>
      </c>
      <c r="F12" s="44"/>
      <c r="G12" s="5"/>
      <c r="H12" s="44"/>
      <c r="I12" s="5"/>
      <c r="J12" s="5"/>
      <c r="K12" s="5"/>
      <c r="L12" s="5"/>
      <c r="M12" s="44"/>
      <c r="N12" s="5"/>
      <c r="O12" s="44"/>
      <c r="Q12" s="3" t="s">
        <v>124</v>
      </c>
      <c r="R12" s="98">
        <f>R11-R10</f>
        <v>1266.8164396447055</v>
      </c>
      <c r="S12" s="44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</row>
    <row r="13" spans="1:54" x14ac:dyDescent="0.25">
      <c r="A13" s="44"/>
      <c r="B13" s="5" t="s">
        <v>15</v>
      </c>
      <c r="C13" s="45">
        <f>C12-C11</f>
        <v>-1.5472112480097167E-9</v>
      </c>
      <c r="D13" s="5"/>
      <c r="E13" s="5"/>
      <c r="F13" s="44"/>
      <c r="G13" s="5"/>
      <c r="H13" s="44"/>
      <c r="I13" s="3" t="s">
        <v>64</v>
      </c>
      <c r="J13" s="6">
        <f>L15*(1-(1/L3)*(L17/L13))</f>
        <v>4.4659187654803638</v>
      </c>
      <c r="K13" s="3" t="s">
        <v>1</v>
      </c>
      <c r="L13" s="6">
        <f>L17*L11+L18*L8</f>
        <v>1.9177841498343748</v>
      </c>
      <c r="M13" s="44"/>
      <c r="N13" s="5"/>
      <c r="O13" s="44"/>
      <c r="P13" s="44"/>
      <c r="Q13" s="44"/>
      <c r="R13" s="44"/>
      <c r="S13" s="44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</row>
    <row r="14" spans="1:54" x14ac:dyDescent="0.25">
      <c r="A14" s="44"/>
      <c r="B14" s="5"/>
      <c r="D14" s="5"/>
      <c r="E14" s="5"/>
      <c r="F14" s="44"/>
      <c r="G14" s="5"/>
      <c r="H14" s="44"/>
      <c r="I14" s="3" t="s">
        <v>65</v>
      </c>
      <c r="J14" s="6">
        <f>J10*L17^2-L10*L17+J11</f>
        <v>4.4658811330248467</v>
      </c>
      <c r="K14" s="3" t="s">
        <v>8</v>
      </c>
      <c r="L14" s="6">
        <f>(L13/L2)^(-1/L3)</f>
        <v>7.2210464315813123</v>
      </c>
      <c r="M14" s="44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</row>
    <row r="15" spans="1:54" ht="15.75" thickBot="1" x14ac:dyDescent="0.3">
      <c r="A15" s="44"/>
      <c r="B15" s="234" t="s">
        <v>26</v>
      </c>
      <c r="C15" s="234"/>
      <c r="D15" s="234"/>
      <c r="E15" s="234"/>
      <c r="F15" s="44"/>
      <c r="G15" s="5"/>
      <c r="H15" s="44"/>
      <c r="I15" s="3" t="s">
        <v>66</v>
      </c>
      <c r="J15" s="6">
        <f>L15*(1-(1/L3)*(L18/L13))</f>
        <v>5.2267993275710909</v>
      </c>
      <c r="K15" s="3" t="s">
        <v>9</v>
      </c>
      <c r="L15" s="6">
        <f>L14/(1+L4)</f>
        <v>5.9678069682490182</v>
      </c>
      <c r="M15" s="44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</row>
    <row r="16" spans="1:54" ht="15.75" thickTop="1" x14ac:dyDescent="0.25">
      <c r="A16" s="44"/>
      <c r="B16" s="5"/>
      <c r="C16" s="3" t="s">
        <v>36</v>
      </c>
      <c r="D16" s="25">
        <f>(E12*E10) - (E4/3*(E10^3) - E5/2*(E10^2) +E6*E10)</f>
        <v>0.43008591734326318</v>
      </c>
      <c r="E16" s="5"/>
      <c r="F16" s="44"/>
      <c r="G16" s="5"/>
      <c r="H16" s="44"/>
      <c r="I16" s="3" t="s">
        <v>67</v>
      </c>
      <c r="J16" s="6">
        <f>J7*L18^2-L7*L18+J8</f>
        <v>5.226816831322707</v>
      </c>
      <c r="K16" s="5"/>
      <c r="L16" s="5"/>
      <c r="M16" s="4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</row>
    <row r="17" spans="1:54" x14ac:dyDescent="0.25">
      <c r="A17" s="44"/>
      <c r="B17" s="5"/>
      <c r="C17" s="3" t="s">
        <v>57</v>
      </c>
      <c r="D17" s="17">
        <f>(E12-C12)/E12</f>
        <v>0.1250000002589205</v>
      </c>
      <c r="E17" s="5"/>
      <c r="F17" s="44"/>
      <c r="G17" s="5"/>
      <c r="H17" s="44"/>
      <c r="I17" s="5"/>
      <c r="J17" s="5"/>
      <c r="K17" s="3" t="s">
        <v>47</v>
      </c>
      <c r="L17" s="6">
        <v>0.96527833605115831</v>
      </c>
      <c r="M17" s="44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</row>
    <row r="18" spans="1:54" x14ac:dyDescent="0.25">
      <c r="A18" s="44"/>
      <c r="B18" s="5"/>
      <c r="C18" s="3" t="s">
        <v>58</v>
      </c>
      <c r="D18" s="17">
        <f>1/E3</f>
        <v>0.5</v>
      </c>
      <c r="E18" s="5"/>
      <c r="F18" s="44"/>
      <c r="G18" s="5"/>
      <c r="H18" s="44"/>
      <c r="I18" s="5" t="s">
        <v>15</v>
      </c>
      <c r="J18" s="45">
        <f>(J14-J13)^2 + (J16-J15)^2</f>
        <v>1.7225830288883058E-9</v>
      </c>
      <c r="K18" s="3" t="s">
        <v>63</v>
      </c>
      <c r="L18" s="6">
        <v>0.47625290689160832</v>
      </c>
      <c r="M18" s="44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</row>
    <row r="19" spans="1:54" x14ac:dyDescent="0.25">
      <c r="A19" s="44"/>
      <c r="B19" s="5"/>
      <c r="C19" s="5"/>
      <c r="D19" s="5"/>
      <c r="E19" s="5"/>
      <c r="F19" s="44"/>
      <c r="G19" s="5"/>
      <c r="H19" s="44"/>
      <c r="I19" s="5"/>
      <c r="J19" s="5"/>
      <c r="K19" s="5"/>
      <c r="L19" s="5"/>
      <c r="M19" s="44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</row>
    <row r="20" spans="1:54" ht="15.75" thickBot="1" x14ac:dyDescent="0.3">
      <c r="A20" s="44"/>
      <c r="B20" s="5"/>
      <c r="C20" s="3" t="s">
        <v>31</v>
      </c>
      <c r="D20" s="24">
        <f>(C10 * ((E2/E3) - E11))/2</f>
        <v>40.904144350547163</v>
      </c>
      <c r="E20" s="5"/>
      <c r="F20" s="44"/>
      <c r="G20" s="5"/>
      <c r="H20" s="44"/>
      <c r="I20" s="234" t="s">
        <v>26</v>
      </c>
      <c r="J20" s="234"/>
      <c r="K20" s="234"/>
      <c r="L20" s="234"/>
      <c r="M20" s="44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</row>
    <row r="21" spans="1:54" ht="15.75" thickTop="1" x14ac:dyDescent="0.25">
      <c r="A21" s="44"/>
      <c r="B21" s="5"/>
      <c r="C21" s="3" t="s">
        <v>52</v>
      </c>
      <c r="D21" s="19">
        <f>D20 + D16*E8+D22</f>
        <v>45.024787879999607</v>
      </c>
      <c r="E21" s="5"/>
      <c r="F21" s="44"/>
      <c r="G21" s="5"/>
      <c r="H21" s="44"/>
      <c r="I21" s="5"/>
      <c r="J21" s="3" t="s">
        <v>55</v>
      </c>
      <c r="K21" s="25">
        <f>((L15*L17) - (J10/3*(L17^3) - L10/2*(L17^2) +J11*L17)) / (E8-L8+1)</f>
        <v>0.58319326034000107</v>
      </c>
      <c r="L21" s="5"/>
      <c r="M21" s="4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</row>
    <row r="22" spans="1:54" x14ac:dyDescent="0.25">
      <c r="A22" s="44"/>
      <c r="B22" s="5"/>
      <c r="C22" s="3" t="s">
        <v>24</v>
      </c>
      <c r="D22" s="18">
        <f>(E11-E12)*C10</f>
        <v>2.4002998600793926</v>
      </c>
      <c r="E22" s="5"/>
      <c r="F22" s="44"/>
      <c r="G22" s="5"/>
      <c r="H22" s="44"/>
      <c r="I22" s="5"/>
      <c r="J22" s="3" t="s">
        <v>59</v>
      </c>
      <c r="K22" s="17">
        <f>(L15-J14)/L15</f>
        <v>0.25167131631686196</v>
      </c>
      <c r="L22" s="5"/>
      <c r="M22" s="44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</row>
    <row r="23" spans="1:54" x14ac:dyDescent="0.25">
      <c r="A23" s="44"/>
      <c r="B23" s="44"/>
      <c r="C23" s="44"/>
      <c r="D23" s="44"/>
      <c r="E23" s="44"/>
      <c r="F23" s="44"/>
      <c r="G23" s="5"/>
      <c r="H23" s="44"/>
      <c r="I23" s="5"/>
      <c r="J23" s="3" t="s">
        <v>60</v>
      </c>
      <c r="K23" s="17">
        <f>1/L3</f>
        <v>0.5</v>
      </c>
      <c r="L23" s="5"/>
      <c r="M23" s="44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</row>
    <row r="24" spans="1:54" x14ac:dyDescent="0.25">
      <c r="A24" s="5"/>
      <c r="B24" s="5"/>
      <c r="C24" s="5"/>
      <c r="D24" s="5"/>
      <c r="E24" s="5"/>
      <c r="F24" s="5"/>
      <c r="G24" s="5"/>
      <c r="H24" s="44"/>
      <c r="I24" s="5"/>
      <c r="J24" s="5"/>
      <c r="K24" s="5"/>
      <c r="L24" s="5"/>
      <c r="M24" s="44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</row>
    <row r="25" spans="1:54" x14ac:dyDescent="0.25">
      <c r="A25" s="5"/>
      <c r="B25" s="5"/>
      <c r="C25" s="5"/>
      <c r="D25" s="5"/>
      <c r="E25" s="5"/>
      <c r="F25" s="5"/>
      <c r="G25" s="5"/>
      <c r="H25" s="44"/>
      <c r="I25" s="5"/>
      <c r="J25" s="3" t="s">
        <v>32</v>
      </c>
      <c r="K25" s="24">
        <f>(L13 * ((L2/L3) - L14))/2</f>
        <v>41.020399550007014</v>
      </c>
      <c r="L25" s="5"/>
      <c r="M25" s="44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</row>
    <row r="26" spans="1:54" x14ac:dyDescent="0.25">
      <c r="A26" s="5"/>
      <c r="B26" s="5"/>
      <c r="C26" s="5"/>
      <c r="D26" s="5"/>
      <c r="E26" s="5"/>
      <c r="F26" s="5"/>
      <c r="G26" s="5"/>
      <c r="H26" s="44"/>
      <c r="I26" s="5"/>
      <c r="J26" s="3" t="s">
        <v>53</v>
      </c>
      <c r="K26" s="19">
        <f>K25 + K21 + L8*(L18*L15 - J7/3*L18^3 + L10/2*L18^2 - J11*L18) + K27</f>
        <v>45.809368383233355</v>
      </c>
      <c r="L26" s="5"/>
      <c r="M26" s="4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</row>
    <row r="27" spans="1:54" x14ac:dyDescent="0.25">
      <c r="A27" s="5"/>
      <c r="B27" s="5"/>
      <c r="C27" s="5"/>
      <c r="D27" s="5"/>
      <c r="E27" s="5"/>
      <c r="F27" s="5"/>
      <c r="G27" s="5"/>
      <c r="H27" s="44"/>
      <c r="I27" s="5"/>
      <c r="J27" s="3" t="s">
        <v>24</v>
      </c>
      <c r="K27" s="18">
        <f>(L14-L15)*L13</f>
        <v>2.4034427787256116</v>
      </c>
      <c r="L27" s="5"/>
      <c r="M27" s="44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</row>
    <row r="28" spans="1:54" x14ac:dyDescent="0.25">
      <c r="A28" s="5"/>
      <c r="B28" s="5"/>
      <c r="C28" s="5"/>
      <c r="D28" s="5"/>
      <c r="E28" s="5"/>
      <c r="F28" s="5"/>
      <c r="G28" s="5"/>
      <c r="H28" s="44"/>
      <c r="I28" s="44"/>
      <c r="J28" s="44"/>
      <c r="K28" s="44"/>
      <c r="L28" s="44"/>
      <c r="M28" s="44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</row>
    <row r="29" spans="1:54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</row>
    <row r="30" spans="1:54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</row>
    <row r="31" spans="1:54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</row>
    <row r="32" spans="1:54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</row>
    <row r="33" spans="1:28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</row>
    <row r="34" spans="1:28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</row>
    <row r="35" spans="1:28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</row>
    <row r="36" spans="1:28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</row>
    <row r="37" spans="1:28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</row>
    <row r="38" spans="1:28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</row>
    <row r="39" spans="1:28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</row>
    <row r="40" spans="1:28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</row>
    <row r="41" spans="1:28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</row>
    <row r="42" spans="1:28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</row>
    <row r="43" spans="1:28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</row>
    <row r="44" spans="1:28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</row>
    <row r="45" spans="1:28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</row>
    <row r="46" spans="1:28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</row>
    <row r="47" spans="1:28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</row>
    <row r="48" spans="1:28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</row>
    <row r="49" spans="1:28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</row>
    <row r="50" spans="1:28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</row>
    <row r="51" spans="1:28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</row>
    <row r="52" spans="1:28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</row>
    <row r="53" spans="1:28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</row>
    <row r="54" spans="1:28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</row>
    <row r="55" spans="1:28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</row>
    <row r="56" spans="1:28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</row>
    <row r="57" spans="1:28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</row>
    <row r="58" spans="1:28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</row>
    <row r="59" spans="1:28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</row>
    <row r="60" spans="1:28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</row>
    <row r="61" spans="1:28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</row>
    <row r="62" spans="1:28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</row>
    <row r="63" spans="1:28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</row>
    <row r="64" spans="1:28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</row>
    <row r="65" spans="1:28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</row>
    <row r="66" spans="1:28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</row>
    <row r="67" spans="1:28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</row>
    <row r="68" spans="1:28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</row>
    <row r="69" spans="1:28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</row>
    <row r="70" spans="1:28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</row>
    <row r="71" spans="1:28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</row>
    <row r="72" spans="1:28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</row>
    <row r="73" spans="1:28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</row>
    <row r="74" spans="1:28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</row>
    <row r="75" spans="1:28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</row>
    <row r="76" spans="1:28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</row>
    <row r="77" spans="1:28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</row>
    <row r="78" spans="1:28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</row>
    <row r="79" spans="1:28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</row>
    <row r="80" spans="1:28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</row>
    <row r="81" spans="1:28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</row>
    <row r="82" spans="1:28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</row>
    <row r="83" spans="1:28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</row>
    <row r="84" spans="1:28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</row>
    <row r="85" spans="1:28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</row>
    <row r="86" spans="1:28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</row>
    <row r="87" spans="1:28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</row>
    <row r="88" spans="1:28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</row>
    <row r="89" spans="1:28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</row>
    <row r="90" spans="1:28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</row>
    <row r="91" spans="1:28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</row>
    <row r="92" spans="1:28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</row>
    <row r="93" spans="1:28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</row>
    <row r="94" spans="1:28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</row>
    <row r="95" spans="1:28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</row>
    <row r="96" spans="1:28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</row>
    <row r="97" spans="1:28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</row>
    <row r="98" spans="1:28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</row>
    <row r="99" spans="1:28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</row>
    <row r="100" spans="1:28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</row>
    <row r="101" spans="1:28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</row>
    <row r="102" spans="1:28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</row>
    <row r="103" spans="1:28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</row>
    <row r="104" spans="1:28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</row>
    <row r="105" spans="1:28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</row>
    <row r="106" spans="1:28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</row>
    <row r="107" spans="1:28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</row>
    <row r="108" spans="1:28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</row>
    <row r="109" spans="1:28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</row>
    <row r="110" spans="1:28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</row>
    <row r="111" spans="1:28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</row>
    <row r="112" spans="1:28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</row>
    <row r="113" spans="1:28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</row>
    <row r="114" spans="1:28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</row>
    <row r="115" spans="1:28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</row>
    <row r="116" spans="1:28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</row>
    <row r="117" spans="1:28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</row>
    <row r="118" spans="1:28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</row>
    <row r="119" spans="1:28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</row>
    <row r="120" spans="1:28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</row>
    <row r="121" spans="1:28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</row>
    <row r="122" spans="1:28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</row>
    <row r="123" spans="1:28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</row>
    <row r="124" spans="1:28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</row>
    <row r="125" spans="1:28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</row>
    <row r="126" spans="1:28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</row>
    <row r="127" spans="1:28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</row>
    <row r="128" spans="1:28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</row>
    <row r="129" spans="1:28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</row>
    <row r="130" spans="1:28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</row>
    <row r="131" spans="1:28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</row>
    <row r="132" spans="1:28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</row>
    <row r="133" spans="1:28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</row>
    <row r="134" spans="1:28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</row>
    <row r="135" spans="1:28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</row>
    <row r="136" spans="1:28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</row>
    <row r="137" spans="1:28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</row>
    <row r="138" spans="1:28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</row>
    <row r="139" spans="1:28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</row>
    <row r="140" spans="1:28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</row>
    <row r="141" spans="1:28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</row>
    <row r="142" spans="1:28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</row>
    <row r="143" spans="1:28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</row>
    <row r="144" spans="1:28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</row>
    <row r="145" spans="1:28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</row>
    <row r="146" spans="1:28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</row>
    <row r="147" spans="1:28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</row>
    <row r="148" spans="1:28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</row>
    <row r="149" spans="1:28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</row>
    <row r="150" spans="1:28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</row>
    <row r="151" spans="1:28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</row>
    <row r="152" spans="1:28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</row>
    <row r="153" spans="1:28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</row>
    <row r="154" spans="1:28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</row>
    <row r="155" spans="1:28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</row>
    <row r="156" spans="1:28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</row>
    <row r="157" spans="1:28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</row>
    <row r="158" spans="1:28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</row>
    <row r="159" spans="1:28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</row>
    <row r="160" spans="1:28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</row>
    <row r="161" spans="1:28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</row>
    <row r="162" spans="1:28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</row>
    <row r="163" spans="1:28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</row>
    <row r="164" spans="1:28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</row>
    <row r="165" spans="1:28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</row>
    <row r="166" spans="1:28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</row>
    <row r="167" spans="1:28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</row>
    <row r="168" spans="1:28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</row>
    <row r="169" spans="1:28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</row>
    <row r="170" spans="1:28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</row>
    <row r="171" spans="1:28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</row>
    <row r="172" spans="1:28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</row>
    <row r="173" spans="1:28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</row>
    <row r="174" spans="1:28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</row>
    <row r="175" spans="1:28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</row>
    <row r="176" spans="1:28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</row>
    <row r="177" spans="1:28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</row>
    <row r="178" spans="1:28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</row>
    <row r="179" spans="1:28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</row>
    <row r="180" spans="1:28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</row>
    <row r="181" spans="1:28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</row>
    <row r="182" spans="1:28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</row>
    <row r="183" spans="1:28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</row>
    <row r="184" spans="1:28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</row>
    <row r="185" spans="1:28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</row>
    <row r="186" spans="1:28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</row>
    <row r="187" spans="1:28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</row>
    <row r="188" spans="1:28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</row>
    <row r="189" spans="1:28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</row>
    <row r="190" spans="1:28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</row>
    <row r="191" spans="1:28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</row>
    <row r="192" spans="1:28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</row>
    <row r="193" spans="1:28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</row>
    <row r="194" spans="1:28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</row>
    <row r="195" spans="1:28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</row>
    <row r="196" spans="1:28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</row>
    <row r="197" spans="1:28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</row>
    <row r="198" spans="1:28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</row>
    <row r="199" spans="1:28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</row>
    <row r="200" spans="1:28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</row>
    <row r="201" spans="1:28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</row>
    <row r="202" spans="1:28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</row>
    <row r="203" spans="1:28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</row>
    <row r="204" spans="1:28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</row>
    <row r="205" spans="1:28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</row>
    <row r="206" spans="1:28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</row>
    <row r="207" spans="1:28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</row>
    <row r="208" spans="1:28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</row>
    <row r="209" spans="1:28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</row>
    <row r="210" spans="1:28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</row>
    <row r="211" spans="1:28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</row>
    <row r="212" spans="1:28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</row>
    <row r="213" spans="1:28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</row>
    <row r="214" spans="1:28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</row>
    <row r="215" spans="1:28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</row>
    <row r="216" spans="1:28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</row>
    <row r="217" spans="1:28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</row>
    <row r="218" spans="1:28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</row>
    <row r="219" spans="1:28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</row>
    <row r="220" spans="1:28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</row>
    <row r="221" spans="1:28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</row>
    <row r="222" spans="1:28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</row>
    <row r="223" spans="1:28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</row>
    <row r="224" spans="1:28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</row>
    <row r="225" spans="1:28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</row>
    <row r="226" spans="1:28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</row>
    <row r="227" spans="1:28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</row>
    <row r="228" spans="1:28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</row>
    <row r="229" spans="1:28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</row>
    <row r="230" spans="1:28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</row>
    <row r="231" spans="1:28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</row>
    <row r="232" spans="1:28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</row>
    <row r="233" spans="1:28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</row>
    <row r="234" spans="1:28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</row>
    <row r="235" spans="1:28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</row>
    <row r="236" spans="1:28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</row>
    <row r="237" spans="1:28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</row>
    <row r="238" spans="1:28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</row>
    <row r="239" spans="1:28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</row>
    <row r="240" spans="1:28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</row>
    <row r="241" spans="1:28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</row>
    <row r="242" spans="1:28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</row>
    <row r="243" spans="1:28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</row>
    <row r="244" spans="1:28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</row>
    <row r="245" spans="1:28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</row>
    <row r="246" spans="1:28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</row>
    <row r="247" spans="1:28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</row>
    <row r="248" spans="1:28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</row>
    <row r="249" spans="1:28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</row>
    <row r="250" spans="1:28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</row>
    <row r="251" spans="1:28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</row>
    <row r="252" spans="1:28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</row>
    <row r="253" spans="1:28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</row>
    <row r="254" spans="1:28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</row>
    <row r="255" spans="1:28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</row>
    <row r="256" spans="1:28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</row>
    <row r="257" spans="1:28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</row>
    <row r="258" spans="1:28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</row>
    <row r="259" spans="1:28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</row>
    <row r="260" spans="1:28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</row>
    <row r="261" spans="1:28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</row>
    <row r="262" spans="1:28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</row>
    <row r="263" spans="1:28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</row>
    <row r="264" spans="1:28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</row>
    <row r="265" spans="1:28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</row>
    <row r="266" spans="1:28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</row>
    <row r="267" spans="1:28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</row>
    <row r="268" spans="1:28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</row>
    <row r="269" spans="1:28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</row>
    <row r="270" spans="1:28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</row>
    <row r="271" spans="1:28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</row>
    <row r="272" spans="1:28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</row>
    <row r="273" spans="1:28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</row>
    <row r="274" spans="1:28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</row>
    <row r="275" spans="1:28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</row>
    <row r="276" spans="1:28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</row>
    <row r="277" spans="1:28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</row>
    <row r="278" spans="1:28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</row>
    <row r="279" spans="1:28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</row>
    <row r="280" spans="1:28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</row>
    <row r="281" spans="1:28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</row>
    <row r="282" spans="1:28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</row>
    <row r="283" spans="1:28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</row>
    <row r="284" spans="1:28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</row>
    <row r="285" spans="1:28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</row>
  </sheetData>
  <mergeCells count="7">
    <mergeCell ref="P1:R1"/>
    <mergeCell ref="B1:E1"/>
    <mergeCell ref="B15:E15"/>
    <mergeCell ref="I20:L20"/>
    <mergeCell ref="I6:L6"/>
    <mergeCell ref="I9:L9"/>
    <mergeCell ref="I1:L1"/>
  </mergeCells>
  <conditionalFormatting sqref="R4">
    <cfRule type="cellIs" dxfId="66" priority="11" operator="between">
      <formula>0</formula>
      <formula>0.01</formula>
    </cfRule>
    <cfRule type="cellIs" dxfId="65" priority="15" operator="lessThan">
      <formula>0</formula>
    </cfRule>
    <cfRule type="cellIs" dxfId="64" priority="19" operator="greaterThan">
      <formula>0.01</formula>
    </cfRule>
  </conditionalFormatting>
  <conditionalFormatting sqref="R6">
    <cfRule type="cellIs" dxfId="63" priority="10" operator="between">
      <formula>0</formula>
      <formula>0.01</formula>
    </cfRule>
    <cfRule type="cellIs" dxfId="62" priority="14" operator="lessThan">
      <formula>0</formula>
    </cfRule>
    <cfRule type="cellIs" dxfId="61" priority="18" operator="greaterThan">
      <formula>0.01</formula>
    </cfRule>
  </conditionalFormatting>
  <conditionalFormatting sqref="R7">
    <cfRule type="cellIs" dxfId="60" priority="9" operator="between">
      <formula>0</formula>
      <formula>0.01</formula>
    </cfRule>
    <cfRule type="cellIs" dxfId="59" priority="13" operator="lessThan">
      <formula>0</formula>
    </cfRule>
    <cfRule type="cellIs" dxfId="58" priority="17" operator="greaterThan">
      <formula>0.01</formula>
    </cfRule>
  </conditionalFormatting>
  <conditionalFormatting sqref="R8">
    <cfRule type="cellIs" dxfId="57" priority="8" operator="between">
      <formula>0</formula>
      <formula>0.01</formula>
    </cfRule>
    <cfRule type="cellIs" dxfId="56" priority="12" operator="lessThan">
      <formula>0</formula>
    </cfRule>
    <cfRule type="cellIs" dxfId="55" priority="16" operator="greaterThan">
      <formula>0.01</formula>
    </cfRule>
  </conditionalFormatting>
  <conditionalFormatting sqref="R10">
    <cfRule type="cellIs" dxfId="54" priority="6" operator="lessThan">
      <formula>2000</formula>
    </cfRule>
  </conditionalFormatting>
  <conditionalFormatting sqref="R12">
    <cfRule type="cellIs" dxfId="53" priority="4" operator="lessThan">
      <formula>150</formula>
    </cfRule>
    <cfRule type="cellIs" dxfId="52" priority="5" operator="greaterThan">
      <formula>150</formula>
    </cfRule>
  </conditionalFormatting>
  <conditionalFormatting sqref="R11">
    <cfRule type="cellIs" dxfId="51" priority="2" operator="lessThan">
      <formula>2000</formula>
    </cfRule>
  </conditionalFormatting>
  <conditionalFormatting sqref="R10:R11">
    <cfRule type="cellIs" dxfId="50" priority="1" operator="greaterThan">
      <formula>2000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3" name="Button 7">
              <controlPr defaultSize="0" print="0" autoFill="0" autoPict="0" macro="[0]!Fusiones">
                <anchor moveWithCells="1" sizeWithCells="1">
                  <from>
                    <xdr:col>15</xdr:col>
                    <xdr:colOff>47625</xdr:colOff>
                    <xdr:row>13</xdr:row>
                    <xdr:rowOff>57150</xdr:rowOff>
                  </from>
                  <to>
                    <xdr:col>17</xdr:col>
                    <xdr:colOff>714375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CE562-20FA-4E7A-8712-D615CD929C6A}">
  <sheetPr codeName="Hoja15">
    <tabColor rgb="FF0070C0"/>
  </sheetPr>
  <dimension ref="A1:U29"/>
  <sheetViews>
    <sheetView showGridLines="0" showRowColHeaders="0" zoomScale="80" zoomScaleNormal="80" workbookViewId="0"/>
  </sheetViews>
  <sheetFormatPr baseColWidth="10" defaultRowHeight="15" x14ac:dyDescent="0.25"/>
  <cols>
    <col min="1" max="1" width="7.7109375" customWidth="1"/>
    <col min="2" max="6" width="11.7109375" customWidth="1"/>
    <col min="7" max="7" width="7.7109375" customWidth="1"/>
    <col min="8" max="8" width="11.7109375" customWidth="1"/>
    <col min="9" max="9" width="7.7109375" customWidth="1"/>
    <col min="10" max="14" width="11.7109375" customWidth="1"/>
    <col min="15" max="15" width="7.7109375" customWidth="1"/>
    <col min="16" max="16" width="11.7109375" customWidth="1"/>
    <col min="17" max="17" width="7.7109375" customWidth="1"/>
    <col min="18" max="20" width="13.5703125" customWidth="1"/>
    <col min="21" max="21" width="7.7109375" customWidth="1"/>
    <col min="22" max="22" width="11.7109375" customWidth="1"/>
  </cols>
  <sheetData>
    <row r="1" spans="1:21" x14ac:dyDescent="0.25">
      <c r="A1" s="44"/>
      <c r="B1" s="233" t="s">
        <v>50</v>
      </c>
      <c r="C1" s="233"/>
      <c r="D1" s="233"/>
      <c r="E1" s="233"/>
      <c r="F1" s="233"/>
      <c r="G1" s="44"/>
      <c r="I1" s="44"/>
      <c r="J1" s="233" t="s">
        <v>51</v>
      </c>
      <c r="K1" s="233"/>
      <c r="L1" s="233"/>
      <c r="M1" s="233"/>
      <c r="N1" s="233"/>
      <c r="O1" s="44"/>
      <c r="P1" s="5"/>
      <c r="Q1" s="44"/>
      <c r="R1" s="233" t="s">
        <v>26</v>
      </c>
      <c r="S1" s="233"/>
      <c r="T1" s="233"/>
      <c r="U1" s="44"/>
    </row>
    <row r="2" spans="1:21" ht="15.75" thickBot="1" x14ac:dyDescent="0.3">
      <c r="A2" s="44"/>
      <c r="B2" s="100"/>
      <c r="C2" s="101"/>
      <c r="E2" s="104" t="s">
        <v>28</v>
      </c>
      <c r="F2" s="105">
        <v>1000</v>
      </c>
      <c r="G2" s="160"/>
      <c r="H2" s="100"/>
      <c r="I2" s="44"/>
      <c r="J2" s="100"/>
      <c r="K2" s="101"/>
      <c r="M2" s="148" t="s">
        <v>28</v>
      </c>
      <c r="N2" s="149">
        <v>1000</v>
      </c>
      <c r="O2" s="44"/>
      <c r="P2" s="5"/>
      <c r="Q2" s="44"/>
      <c r="R2" s="239" t="s">
        <v>203</v>
      </c>
      <c r="S2" s="239"/>
      <c r="T2" s="239"/>
      <c r="U2" s="44"/>
    </row>
    <row r="3" spans="1:21" ht="15.75" thickTop="1" x14ac:dyDescent="0.25">
      <c r="A3" s="44"/>
      <c r="B3" s="101"/>
      <c r="C3" s="101"/>
      <c r="E3" s="144" t="s">
        <v>29</v>
      </c>
      <c r="F3" s="107">
        <v>2.5</v>
      </c>
      <c r="G3" s="160"/>
      <c r="H3" s="100"/>
      <c r="I3" s="44"/>
      <c r="J3" s="101"/>
      <c r="K3" s="101"/>
      <c r="M3" s="144" t="s">
        <v>29</v>
      </c>
      <c r="N3" s="107">
        <v>2.5</v>
      </c>
      <c r="O3" s="44"/>
      <c r="P3" s="5"/>
      <c r="Q3" s="44"/>
      <c r="S3" s="99" t="s">
        <v>68</v>
      </c>
      <c r="T3" s="23">
        <f>AVERAGE(K13:K16)/AVERAGE(C11:C14) - 1</f>
        <v>0.22000002343363234</v>
      </c>
      <c r="U3" s="44"/>
    </row>
    <row r="4" spans="1:21" x14ac:dyDescent="0.25">
      <c r="A4" s="44"/>
      <c r="E4" s="145" t="s">
        <v>181</v>
      </c>
      <c r="F4" s="111">
        <v>1</v>
      </c>
      <c r="G4" s="161"/>
      <c r="H4" s="158"/>
      <c r="I4" s="44"/>
      <c r="J4" s="100"/>
      <c r="K4" s="101"/>
      <c r="M4" s="145" t="s">
        <v>181</v>
      </c>
      <c r="N4" s="111">
        <v>1</v>
      </c>
      <c r="O4" s="44"/>
      <c r="P4" s="5"/>
      <c r="Q4" s="44"/>
      <c r="S4" s="99" t="s">
        <v>69</v>
      </c>
      <c r="T4" s="23">
        <f>SUM(L13:L16)/SUM(D11:D14) - 1</f>
        <v>0.20329134699537033</v>
      </c>
      <c r="U4" s="44"/>
    </row>
    <row r="5" spans="1:21" x14ac:dyDescent="0.25">
      <c r="A5" s="44"/>
      <c r="E5" s="146" t="s">
        <v>182</v>
      </c>
      <c r="F5" s="103">
        <v>0.8</v>
      </c>
      <c r="G5" s="161"/>
      <c r="H5" s="158"/>
      <c r="I5" s="44"/>
      <c r="M5" s="146" t="s">
        <v>182</v>
      </c>
      <c r="N5" s="103">
        <v>0.8</v>
      </c>
      <c r="O5" s="44"/>
      <c r="P5" s="5"/>
      <c r="Q5" s="44"/>
      <c r="S5" s="99" t="s">
        <v>34</v>
      </c>
      <c r="T5" s="17">
        <f xml:space="preserve"> SUM(N13:N16)/SUM(F11:F14) - 1</f>
        <v>0.60838397396565869</v>
      </c>
      <c r="U5" s="44"/>
    </row>
    <row r="6" spans="1:21" x14ac:dyDescent="0.25">
      <c r="A6" s="44"/>
      <c r="E6" s="147" t="s">
        <v>183</v>
      </c>
      <c r="F6" s="113">
        <v>0.5</v>
      </c>
      <c r="G6" s="161"/>
      <c r="H6" s="158"/>
      <c r="I6" s="44"/>
      <c r="M6" s="147" t="s">
        <v>183</v>
      </c>
      <c r="N6" s="113">
        <v>0.5</v>
      </c>
      <c r="O6" s="44"/>
      <c r="P6" s="5"/>
      <c r="Q6" s="44"/>
      <c r="U6" s="44"/>
    </row>
    <row r="7" spans="1:21" ht="15.75" thickBot="1" x14ac:dyDescent="0.3">
      <c r="A7" s="44"/>
      <c r="B7" s="100"/>
      <c r="C7" s="101"/>
      <c r="E7" s="106" t="s">
        <v>13</v>
      </c>
      <c r="F7" s="107">
        <v>5</v>
      </c>
      <c r="G7" s="160"/>
      <c r="H7" s="100"/>
      <c r="I7" s="44"/>
      <c r="M7" s="102" t="s">
        <v>17</v>
      </c>
      <c r="N7" s="114">
        <v>0.21</v>
      </c>
      <c r="O7" s="44"/>
      <c r="P7" s="5"/>
      <c r="Q7" s="44"/>
      <c r="R7" s="239" t="s">
        <v>204</v>
      </c>
      <c r="S7" s="239"/>
      <c r="T7" s="239"/>
      <c r="U7" s="44"/>
    </row>
    <row r="8" spans="1:21" ht="15.75" thickTop="1" x14ac:dyDescent="0.25">
      <c r="A8" s="44"/>
      <c r="E8" s="102" t="s">
        <v>17</v>
      </c>
      <c r="F8" s="114">
        <v>0.21</v>
      </c>
      <c r="G8" s="162"/>
      <c r="H8" s="159"/>
      <c r="I8" s="44"/>
      <c r="O8" s="44"/>
      <c r="P8" s="5"/>
      <c r="Q8" s="44"/>
      <c r="S8" s="99" t="s">
        <v>68</v>
      </c>
      <c r="T8" s="23">
        <f>K13/C11-1</f>
        <v>0.44000003284757216</v>
      </c>
      <c r="U8" s="44"/>
    </row>
    <row r="9" spans="1:21" ht="15.75" thickBot="1" x14ac:dyDescent="0.3">
      <c r="A9" s="44"/>
      <c r="B9" s="138"/>
      <c r="C9" s="138"/>
      <c r="D9" s="138"/>
      <c r="E9" s="138"/>
      <c r="F9" s="153"/>
      <c r="G9" s="44"/>
      <c r="I9" s="44"/>
      <c r="J9" s="240" t="s">
        <v>61</v>
      </c>
      <c r="K9" s="240"/>
      <c r="L9" s="138"/>
      <c r="M9" s="240" t="s">
        <v>62</v>
      </c>
      <c r="N9" s="240"/>
      <c r="O9" s="44"/>
      <c r="P9" s="5"/>
      <c r="Q9" s="44"/>
      <c r="S9" s="99" t="s">
        <v>69</v>
      </c>
      <c r="T9" s="23">
        <f>L13/D11-1</f>
        <v>-0.42129630362476633</v>
      </c>
      <c r="U9" s="44"/>
    </row>
    <row r="10" spans="1:21" ht="15.75" thickTop="1" x14ac:dyDescent="0.25">
      <c r="A10" s="44"/>
      <c r="B10" s="99"/>
      <c r="C10" s="140" t="s">
        <v>186</v>
      </c>
      <c r="D10" s="101" t="s">
        <v>40</v>
      </c>
      <c r="E10" s="118" t="s">
        <v>187</v>
      </c>
      <c r="F10" s="140" t="s">
        <v>39</v>
      </c>
      <c r="G10" s="163"/>
      <c r="H10" s="140"/>
      <c r="I10" s="44"/>
      <c r="J10" s="156" t="s">
        <v>13</v>
      </c>
      <c r="K10" s="157">
        <f>F7</f>
        <v>5</v>
      </c>
      <c r="M10" s="156" t="s">
        <v>13</v>
      </c>
      <c r="N10" s="157">
        <v>4</v>
      </c>
      <c r="O10" s="44"/>
      <c r="P10" s="5"/>
      <c r="Q10" s="44"/>
      <c r="S10" s="99" t="s">
        <v>205</v>
      </c>
      <c r="T10" s="17">
        <f>(N13/2)/F11-1</f>
        <v>0.38888891962043304</v>
      </c>
      <c r="U10" s="44"/>
    </row>
    <row r="11" spans="1:21" x14ac:dyDescent="0.25">
      <c r="A11" s="44"/>
      <c r="B11" s="99" t="s">
        <v>172</v>
      </c>
      <c r="C11" s="140">
        <v>10.083333327544617</v>
      </c>
      <c r="D11" s="140">
        <f>F2 * (C11^(-F3)) * (C12^F4) * (C13^F5) * (C14^F6)</f>
        <v>629.91096166586522</v>
      </c>
      <c r="E11" s="133">
        <f>C11*D11</f>
        <v>6351.6021931510986</v>
      </c>
      <c r="F11" s="140">
        <f>(C11*D11)/(1+$F$8) - ($F$7*D11)</f>
        <v>2099.703202539351</v>
      </c>
      <c r="G11" s="163"/>
      <c r="H11" s="140"/>
      <c r="I11" s="44"/>
      <c r="K11" s="131"/>
      <c r="L11" s="131"/>
      <c r="M11" s="131"/>
      <c r="O11" s="44"/>
      <c r="P11" s="5"/>
      <c r="Q11" s="44"/>
      <c r="U11" s="44"/>
    </row>
    <row r="12" spans="1:21" ht="15.75" thickBot="1" x14ac:dyDescent="0.3">
      <c r="A12" s="44"/>
      <c r="B12" s="99" t="s">
        <v>173</v>
      </c>
      <c r="C12" s="140">
        <v>10.083333201993646</v>
      </c>
      <c r="D12" s="140">
        <f>F2 * (C12^(-F3)) * (C11^F4) * (C13^F5) * (C14^F6)</f>
        <v>629.9109891171812</v>
      </c>
      <c r="E12" s="133">
        <f t="shared" ref="E12:E14" si="0">C12*D12</f>
        <v>6351.6023908659317</v>
      </c>
      <c r="F12" s="140">
        <f>(C12*D12)/(1+$F$8) - ($F$7*D12)</f>
        <v>2099.7032286834597</v>
      </c>
      <c r="G12" s="163"/>
      <c r="H12" s="140"/>
      <c r="I12" s="44"/>
      <c r="K12" s="118" t="s">
        <v>186</v>
      </c>
      <c r="L12" s="118" t="s">
        <v>40</v>
      </c>
      <c r="M12" s="118" t="s">
        <v>187</v>
      </c>
      <c r="N12" s="118" t="s">
        <v>39</v>
      </c>
      <c r="O12" s="44"/>
      <c r="P12" s="5"/>
      <c r="Q12" s="44"/>
      <c r="R12" s="239" t="s">
        <v>206</v>
      </c>
      <c r="S12" s="239"/>
      <c r="T12" s="239"/>
      <c r="U12" s="44"/>
    </row>
    <row r="13" spans="1:21" ht="15.75" thickTop="1" x14ac:dyDescent="0.25">
      <c r="A13" s="44"/>
      <c r="B13" s="99" t="s">
        <v>184</v>
      </c>
      <c r="C13" s="140">
        <v>10.083333205418242</v>
      </c>
      <c r="D13" s="140">
        <f>F2 * (C13^(-F3)) * (C12^F4) * (C11^F5) * (C14^F6)</f>
        <v>629.9109868425453</v>
      </c>
      <c r="E13" s="133">
        <f t="shared" si="0"/>
        <v>6351.6023700872101</v>
      </c>
      <c r="F13" s="140">
        <f>(C13*D13)/(1+$F$8) - ($F$7*D13)</f>
        <v>2099.7032228841413</v>
      </c>
      <c r="G13" s="163"/>
      <c r="H13" s="140"/>
      <c r="I13" s="44"/>
      <c r="J13" s="99" t="s">
        <v>172</v>
      </c>
      <c r="K13" s="133">
        <v>14.520000322877268</v>
      </c>
      <c r="L13" s="140">
        <f>N2 * (K13^(-N3)) * (K14^N4) * (K15^N5) * (K16^N6)</f>
        <v>364.53180190331432</v>
      </c>
      <c r="M13" s="241">
        <f>K13*L13+K14*L14</f>
        <v>10586.003762670312</v>
      </c>
      <c r="N13" s="241">
        <f xml:space="preserve"> (K13*L13)/(1+N7) - N10*L13 + (K14*L14)/(1+N7) - (N10*L14)</f>
        <v>5832.5090249968853</v>
      </c>
      <c r="O13" s="44"/>
      <c r="P13" s="5"/>
      <c r="Q13" s="44"/>
      <c r="S13" s="99" t="s">
        <v>188</v>
      </c>
      <c r="T13" s="17">
        <f>SUMPRODUCT((C11:C14-K13:K16),(D11:D14+L13:L16)/2) / (SUMPRODUCT(C11:C14,D11:D14))</f>
        <v>-0.173657425944195</v>
      </c>
      <c r="U13" s="44"/>
    </row>
    <row r="14" spans="1:21" x14ac:dyDescent="0.25">
      <c r="A14" s="44"/>
      <c r="B14" s="99" t="s">
        <v>185</v>
      </c>
      <c r="C14" s="140">
        <v>10.08333334597387</v>
      </c>
      <c r="D14" s="140">
        <f>F2 * (C14^(-F3)) * (C12^F4) * (C13^F5) * (C11^F6)</f>
        <v>629.91095821201111</v>
      </c>
      <c r="E14" s="133">
        <f t="shared" si="0"/>
        <v>6351.6021699335242</v>
      </c>
      <c r="F14" s="140">
        <f>(C14*D14)/(1+$F$8) - ($F$7*D14)</f>
        <v>2099.7032006205436</v>
      </c>
      <c r="G14" s="163"/>
      <c r="H14" s="140"/>
      <c r="I14" s="44"/>
      <c r="J14" s="99" t="s">
        <v>173</v>
      </c>
      <c r="K14" s="133">
        <v>14.520000322877268</v>
      </c>
      <c r="L14" s="133">
        <f>N2 * (K14^(-N3)) * (K13^N4) * (K15^N5) * (K16^N6)</f>
        <v>364.53180190331432</v>
      </c>
      <c r="M14" s="241"/>
      <c r="N14" s="241"/>
      <c r="O14" s="44"/>
      <c r="P14" s="5"/>
      <c r="Q14" s="44"/>
      <c r="S14" s="99" t="s">
        <v>54</v>
      </c>
      <c r="T14" s="23">
        <f>L20/D18-1</f>
        <v>0.16487958193452257</v>
      </c>
      <c r="U14" s="44"/>
    </row>
    <row r="15" spans="1:21" x14ac:dyDescent="0.25">
      <c r="A15" s="44"/>
      <c r="G15" s="44"/>
      <c r="I15" s="44"/>
      <c r="J15" s="99" t="s">
        <v>184</v>
      </c>
      <c r="K15" s="133">
        <v>10.083333333414473</v>
      </c>
      <c r="L15" s="133">
        <f>N2 * (K15^(-N3)) * (K14^N4) * (K13^N5) * (K16^N6)</f>
        <v>1214.3158901883116</v>
      </c>
      <c r="M15" s="133">
        <f>K15*L15</f>
        <v>12244.351892830671</v>
      </c>
      <c r="N15" s="133">
        <f>(K15*L15)/(1+$N$7) -($K$10*L15)</f>
        <v>4047.719634042468</v>
      </c>
      <c r="O15" s="44"/>
      <c r="P15" s="5"/>
      <c r="Q15" s="44"/>
      <c r="S15" s="99" t="s">
        <v>56</v>
      </c>
      <c r="T15" s="23">
        <f>(L21/D19)-1</f>
        <v>0.33060617494030886</v>
      </c>
      <c r="U15" s="44"/>
    </row>
    <row r="16" spans="1:21" ht="15.75" thickBot="1" x14ac:dyDescent="0.3">
      <c r="A16" s="44"/>
      <c r="B16" s="239" t="s">
        <v>26</v>
      </c>
      <c r="C16" s="239"/>
      <c r="D16" s="239"/>
      <c r="E16" s="239"/>
      <c r="F16" s="239"/>
      <c r="G16" s="76"/>
      <c r="H16" s="118"/>
      <c r="I16" s="44"/>
      <c r="J16" s="99" t="s">
        <v>185</v>
      </c>
      <c r="K16" s="133">
        <v>10.083333324722545</v>
      </c>
      <c r="L16" s="133">
        <f>N2 * (K16^(-N3)) * (K14^N4) * (K15^N5) * (K13^N6)</f>
        <v>1088.4862033761515</v>
      </c>
      <c r="M16" s="133">
        <f t="shared" ref="M16" si="1">K16*L16</f>
        <v>10975.56920800347</v>
      </c>
      <c r="N16" s="133">
        <f>(K16*L16)/(1+$N$7) -($K$10*L16)</f>
        <v>3628.2873368411183</v>
      </c>
      <c r="O16" s="44"/>
      <c r="P16" s="5"/>
      <c r="Q16" s="44"/>
      <c r="U16" s="44"/>
    </row>
    <row r="17" spans="1:21" ht="16.5" thickTop="1" thickBot="1" x14ac:dyDescent="0.3">
      <c r="A17" s="44"/>
      <c r="C17" s="99" t="s">
        <v>31</v>
      </c>
      <c r="D17" s="150">
        <f xml:space="preserve"> (C11*D11+C12*D12+C13*D13+C14*D14) / (F3-1)</f>
        <v>16937.606082691844</v>
      </c>
      <c r="G17" s="44"/>
      <c r="I17" s="44"/>
      <c r="O17" s="44"/>
      <c r="P17" s="5"/>
      <c r="Q17" s="44"/>
      <c r="R17" s="239" t="s">
        <v>207</v>
      </c>
      <c r="S17" s="239"/>
      <c r="T17" s="239"/>
      <c r="U17" s="44"/>
    </row>
    <row r="18" spans="1:21" ht="16.5" thickTop="1" thickBot="1" x14ac:dyDescent="0.3">
      <c r="A18" s="44"/>
      <c r="C18" s="99" t="s">
        <v>52</v>
      </c>
      <c r="D18" s="154">
        <f>D17 + SUM(F11:F14) + D19</f>
        <v>46333.451271334852</v>
      </c>
      <c r="G18" s="44"/>
      <c r="I18" s="44"/>
      <c r="J18" s="239" t="s">
        <v>26</v>
      </c>
      <c r="K18" s="239"/>
      <c r="L18" s="239"/>
      <c r="M18" s="239"/>
      <c r="N18" s="239"/>
      <c r="O18" s="44"/>
      <c r="P18" s="5"/>
      <c r="Q18" s="44"/>
      <c r="S18" s="99" t="s">
        <v>122</v>
      </c>
      <c r="T18" s="97">
        <f>SUM( (E11/SUM(E11:E14))^2, (E12/SUM(E11:E14))^2, (E13/SUM(E11:E14))^2, (E14/SUM(E11:E14))^2 ) * 10000</f>
        <v>2499.9999999999995</v>
      </c>
      <c r="U18" s="44"/>
    </row>
    <row r="19" spans="1:21" ht="15.75" thickTop="1" x14ac:dyDescent="0.25">
      <c r="A19" s="44"/>
      <c r="C19" s="99" t="s">
        <v>24</v>
      </c>
      <c r="D19" s="155">
        <f xml:space="preserve"> (C11*D11+C12*D12+C13*D13+C14*D14) / (1+F8)</f>
        <v>20997.032333915511</v>
      </c>
      <c r="G19" s="44"/>
      <c r="I19" s="44"/>
      <c r="K19" t="s">
        <v>189</v>
      </c>
      <c r="L19" s="115">
        <f>D17 + SUMPRODUCT((C11:C14-K13:K16),(D11:D14+L13:L16)/2)</f>
        <v>12525.594471726334</v>
      </c>
      <c r="O19" s="44"/>
      <c r="P19" s="5"/>
      <c r="Q19" s="44"/>
      <c r="S19" s="99" t="s">
        <v>123</v>
      </c>
      <c r="T19" s="97">
        <f>SUM( (M13/SUM(M13:M16))^2, (M14/SUM(M13:M16))^2, (M15/SUM(M13:M16))^2, (M16/SUM(M13:M16))^2 ) * 10000</f>
        <v>3346.4926179921317</v>
      </c>
      <c r="U19" s="44"/>
    </row>
    <row r="20" spans="1:21" x14ac:dyDescent="0.25">
      <c r="A20" s="44"/>
      <c r="B20" s="44"/>
      <c r="C20" s="44"/>
      <c r="D20" s="44"/>
      <c r="E20" s="44"/>
      <c r="F20" s="44"/>
      <c r="G20" s="44"/>
      <c r="I20" s="44"/>
      <c r="K20" s="99" t="s">
        <v>53</v>
      </c>
      <c r="L20" s="151">
        <f>SUM(N13:N16) + L21 + L19</f>
        <v>53972.891346536111</v>
      </c>
      <c r="O20" s="44"/>
      <c r="P20" s="5"/>
      <c r="Q20" s="44"/>
      <c r="S20" s="99" t="s">
        <v>124</v>
      </c>
      <c r="T20" s="98">
        <f>T19-T18</f>
        <v>846.49261799213218</v>
      </c>
      <c r="U20" s="44"/>
    </row>
    <row r="21" spans="1:21" x14ac:dyDescent="0.25">
      <c r="I21" s="44"/>
      <c r="K21" s="99" t="s">
        <v>24</v>
      </c>
      <c r="L21" s="152">
        <f xml:space="preserve"> (K13*L13+K14*L14+K15*L15+K16*L16) / (1+N7)</f>
        <v>27938.780878929305</v>
      </c>
      <c r="O21" s="44"/>
      <c r="P21" s="5"/>
      <c r="Q21" s="44"/>
      <c r="R21" s="44"/>
      <c r="S21" s="44"/>
      <c r="T21" s="44"/>
      <c r="U21" s="44"/>
    </row>
    <row r="22" spans="1:21" x14ac:dyDescent="0.25">
      <c r="I22" s="44"/>
      <c r="J22" s="44"/>
      <c r="K22" s="44"/>
      <c r="L22" s="44"/>
      <c r="M22" s="44"/>
      <c r="N22" s="44"/>
      <c r="O22" s="44"/>
      <c r="P22" s="5"/>
      <c r="Q22" s="5"/>
      <c r="R22" s="5"/>
      <c r="S22" s="5"/>
      <c r="T22" s="5"/>
      <c r="U22" s="5"/>
    </row>
    <row r="23" spans="1:21" x14ac:dyDescent="0.25">
      <c r="B23" s="97"/>
      <c r="C23" s="97"/>
      <c r="G23" s="165"/>
      <c r="P23" s="5"/>
      <c r="Q23" s="5"/>
      <c r="R23" s="5"/>
      <c r="S23" s="5"/>
      <c r="T23" s="5"/>
      <c r="U23" s="5"/>
    </row>
    <row r="24" spans="1:21" x14ac:dyDescent="0.25">
      <c r="B24" s="97"/>
      <c r="C24" s="97"/>
      <c r="P24" s="5"/>
      <c r="Q24" s="5"/>
      <c r="R24" s="5"/>
      <c r="S24" s="5"/>
      <c r="T24" s="5"/>
      <c r="U24" s="5"/>
    </row>
    <row r="25" spans="1:21" x14ac:dyDescent="0.25">
      <c r="B25" s="97"/>
      <c r="C25" s="97"/>
      <c r="P25" s="17"/>
      <c r="Q25" s="5"/>
      <c r="R25" s="5"/>
      <c r="S25" s="5"/>
      <c r="T25" s="5"/>
      <c r="U25" s="5"/>
    </row>
    <row r="26" spans="1:21" x14ac:dyDescent="0.25">
      <c r="B26" s="97"/>
      <c r="C26" s="97"/>
      <c r="P26" s="5"/>
      <c r="Q26" s="5"/>
      <c r="R26" s="5"/>
      <c r="S26" s="5"/>
      <c r="T26" s="5"/>
      <c r="U26" s="5"/>
    </row>
    <row r="27" spans="1:21" x14ac:dyDescent="0.25">
      <c r="A27" s="5"/>
      <c r="B27" s="5"/>
      <c r="C27" s="5"/>
      <c r="D27" s="5"/>
      <c r="E27" s="5"/>
      <c r="F27" s="5"/>
      <c r="P27" s="5"/>
      <c r="Q27" s="5"/>
      <c r="R27" s="5"/>
      <c r="S27" s="5"/>
      <c r="T27" s="5"/>
      <c r="U27" s="5"/>
    </row>
    <row r="28" spans="1:21" x14ac:dyDescent="0.25">
      <c r="A28" s="5"/>
      <c r="B28" s="5"/>
      <c r="C28" s="5"/>
      <c r="D28" s="5"/>
      <c r="E28" s="164"/>
      <c r="F28" s="5"/>
      <c r="P28" s="5"/>
      <c r="Q28" s="5"/>
      <c r="R28" s="5"/>
      <c r="S28" s="5"/>
      <c r="T28" s="5"/>
      <c r="U28" s="5"/>
    </row>
    <row r="29" spans="1:21" x14ac:dyDescent="0.25">
      <c r="Q29" s="5"/>
      <c r="R29" s="5"/>
      <c r="S29" s="5"/>
      <c r="T29" s="5"/>
      <c r="U29" s="5"/>
    </row>
  </sheetData>
  <mergeCells count="13">
    <mergeCell ref="B16:F16"/>
    <mergeCell ref="M9:N9"/>
    <mergeCell ref="M13:M14"/>
    <mergeCell ref="J18:N18"/>
    <mergeCell ref="B1:F1"/>
    <mergeCell ref="J1:N1"/>
    <mergeCell ref="J9:K9"/>
    <mergeCell ref="N13:N14"/>
    <mergeCell ref="R12:T12"/>
    <mergeCell ref="R17:T17"/>
    <mergeCell ref="R1:T1"/>
    <mergeCell ref="R2:T2"/>
    <mergeCell ref="R7:T7"/>
  </mergeCells>
  <conditionalFormatting sqref="T13">
    <cfRule type="cellIs" dxfId="49" priority="11" operator="between">
      <formula>0</formula>
      <formula>0.01</formula>
    </cfRule>
    <cfRule type="cellIs" dxfId="48" priority="15" operator="lessThan">
      <formula>0</formula>
    </cfRule>
    <cfRule type="cellIs" dxfId="47" priority="19" operator="greaterThan">
      <formula>0.01</formula>
    </cfRule>
  </conditionalFormatting>
  <conditionalFormatting sqref="T14">
    <cfRule type="cellIs" dxfId="46" priority="10" operator="between">
      <formula>0</formula>
      <formula>0.01</formula>
    </cfRule>
    <cfRule type="cellIs" dxfId="45" priority="14" operator="lessThan">
      <formula>0</formula>
    </cfRule>
    <cfRule type="cellIs" dxfId="44" priority="18" operator="greaterThan">
      <formula>0.01</formula>
    </cfRule>
  </conditionalFormatting>
  <conditionalFormatting sqref="T15">
    <cfRule type="cellIs" dxfId="43" priority="9" operator="between">
      <formula>0</formula>
      <formula>0.01</formula>
    </cfRule>
    <cfRule type="cellIs" dxfId="42" priority="13" operator="lessThan">
      <formula>0</formula>
    </cfRule>
    <cfRule type="cellIs" dxfId="41" priority="17" operator="greaterThan">
      <formula>0.01</formula>
    </cfRule>
  </conditionalFormatting>
  <conditionalFormatting sqref="T18">
    <cfRule type="cellIs" dxfId="40" priority="8" operator="lessThan">
      <formula>2000</formula>
    </cfRule>
  </conditionalFormatting>
  <conditionalFormatting sqref="T20">
    <cfRule type="cellIs" dxfId="39" priority="6" operator="lessThan">
      <formula>150</formula>
    </cfRule>
    <cfRule type="cellIs" dxfId="38" priority="7" operator="greaterThan">
      <formula>150</formula>
    </cfRule>
  </conditionalFormatting>
  <conditionalFormatting sqref="T19">
    <cfRule type="cellIs" dxfId="37" priority="5" operator="lessThan">
      <formula>2000</formula>
    </cfRule>
  </conditionalFormatting>
  <conditionalFormatting sqref="T18:T19">
    <cfRule type="cellIs" dxfId="36" priority="4" operator="greaterThan">
      <formula>2000</formula>
    </cfRule>
  </conditionalFormatting>
  <conditionalFormatting sqref="T10">
    <cfRule type="cellIs" dxfId="35" priority="1" operator="between">
      <formula>0</formula>
      <formula>0.01</formula>
    </cfRule>
    <cfRule type="cellIs" dxfId="34" priority="2" operator="lessThan">
      <formula>0</formula>
    </cfRule>
    <cfRule type="cellIs" dxfId="33" priority="3" operator="greaterThan">
      <formula>0.01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Fusiones_BPD">
                <anchor moveWithCells="1" sizeWithCells="1">
                  <from>
                    <xdr:col>17</xdr:col>
                    <xdr:colOff>47625</xdr:colOff>
                    <xdr:row>21</xdr:row>
                    <xdr:rowOff>57150</xdr:rowOff>
                  </from>
                  <to>
                    <xdr:col>19</xdr:col>
                    <xdr:colOff>714375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0493A-7F76-4C55-A4FB-DF7FB975F8E9}">
  <sheetPr codeName="Hoja16">
    <tabColor rgb="FF0070C0"/>
  </sheetPr>
  <dimension ref="A1:N20"/>
  <sheetViews>
    <sheetView showGridLines="0" showRowColHeaders="0" zoomScale="80" zoomScaleNormal="80" workbookViewId="0"/>
  </sheetViews>
  <sheetFormatPr baseColWidth="10" defaultRowHeight="15" x14ac:dyDescent="0.25"/>
  <cols>
    <col min="1" max="1" width="7.7109375" customWidth="1"/>
    <col min="2" max="6" width="11.7109375" customWidth="1"/>
    <col min="7" max="7" width="7.7109375" customWidth="1"/>
    <col min="8" max="18" width="10.7109375" customWidth="1"/>
  </cols>
  <sheetData>
    <row r="1" spans="1:14" x14ac:dyDescent="0.25">
      <c r="A1" s="44"/>
      <c r="B1" s="233" t="s">
        <v>50</v>
      </c>
      <c r="C1" s="233"/>
      <c r="D1" s="233"/>
      <c r="E1" s="233"/>
      <c r="F1" s="233"/>
      <c r="G1" s="44"/>
    </row>
    <row r="2" spans="1:14" x14ac:dyDescent="0.25">
      <c r="A2" s="44"/>
      <c r="B2" s="100"/>
      <c r="C2" s="101"/>
      <c r="E2" s="104" t="s">
        <v>28</v>
      </c>
      <c r="F2" s="105">
        <v>1000</v>
      </c>
      <c r="G2" s="160"/>
      <c r="I2" s="99" t="s">
        <v>190</v>
      </c>
      <c r="J2" s="166">
        <f xml:space="preserve"> (D19*D18) / ( (1-D18)*(1-D19) )</f>
        <v>0.4444444438065695</v>
      </c>
      <c r="L2" s="99" t="s">
        <v>193</v>
      </c>
      <c r="M2" s="171">
        <f>J2</f>
        <v>0.4444444438065695</v>
      </c>
      <c r="N2" t="s">
        <v>194</v>
      </c>
    </row>
    <row r="3" spans="1:14" x14ac:dyDescent="0.25">
      <c r="A3" s="44"/>
      <c r="B3" s="101"/>
      <c r="C3" s="101"/>
      <c r="E3" s="144" t="s">
        <v>29</v>
      </c>
      <c r="F3" s="107">
        <v>2.5</v>
      </c>
      <c r="G3" s="160"/>
      <c r="M3" s="169"/>
    </row>
    <row r="4" spans="1:14" x14ac:dyDescent="0.25">
      <c r="A4" s="44"/>
      <c r="E4" s="145" t="s">
        <v>181</v>
      </c>
      <c r="F4" s="111">
        <v>1</v>
      </c>
      <c r="G4" s="161"/>
      <c r="I4" s="99" t="s">
        <v>196</v>
      </c>
      <c r="J4" s="166">
        <f>D19*D18</f>
        <v>0.15999999986221902</v>
      </c>
      <c r="L4" s="99" t="s">
        <v>199</v>
      </c>
      <c r="M4" s="171">
        <f>J4</f>
        <v>0.15999999986221902</v>
      </c>
      <c r="N4" t="s">
        <v>200</v>
      </c>
    </row>
    <row r="5" spans="1:14" x14ac:dyDescent="0.25">
      <c r="A5" s="44"/>
      <c r="E5" s="146" t="s">
        <v>182</v>
      </c>
      <c r="F5" s="103">
        <v>0.8</v>
      </c>
      <c r="G5" s="161"/>
      <c r="M5" s="169"/>
    </row>
    <row r="6" spans="1:14" x14ac:dyDescent="0.25">
      <c r="A6" s="44"/>
      <c r="E6" s="147" t="s">
        <v>183</v>
      </c>
      <c r="F6" s="113">
        <v>0.5</v>
      </c>
      <c r="G6" s="161"/>
      <c r="I6" s="99" t="s">
        <v>195</v>
      </c>
      <c r="J6" s="170">
        <f>J4 - F9 / (C12/(1+F8))</f>
        <v>3.9999999793328522E-2</v>
      </c>
      <c r="L6" s="99" t="s">
        <v>202</v>
      </c>
      <c r="M6" s="171">
        <f>J6</f>
        <v>3.9999999793328522E-2</v>
      </c>
    </row>
    <row r="7" spans="1:14" x14ac:dyDescent="0.25">
      <c r="A7" s="44"/>
      <c r="B7" s="100"/>
      <c r="C7" s="101"/>
      <c r="E7" s="106" t="s">
        <v>13</v>
      </c>
      <c r="F7" s="107">
        <v>5</v>
      </c>
      <c r="G7" s="160"/>
      <c r="J7" s="116"/>
      <c r="M7" s="169"/>
    </row>
    <row r="8" spans="1:14" x14ac:dyDescent="0.25">
      <c r="A8" s="44"/>
      <c r="E8" s="102" t="s">
        <v>17</v>
      </c>
      <c r="F8" s="114">
        <v>0.21</v>
      </c>
      <c r="G8" s="162"/>
      <c r="M8" s="169"/>
    </row>
    <row r="9" spans="1:14" x14ac:dyDescent="0.25">
      <c r="A9" s="44"/>
      <c r="E9" s="102" t="s">
        <v>198</v>
      </c>
      <c r="F9" s="103">
        <v>1</v>
      </c>
      <c r="G9" s="44"/>
      <c r="M9" s="169"/>
    </row>
    <row r="10" spans="1:14" ht="15.75" thickBot="1" x14ac:dyDescent="0.3">
      <c r="A10" s="44"/>
      <c r="B10" s="138"/>
      <c r="C10" s="138"/>
      <c r="D10" s="138"/>
      <c r="E10" s="138"/>
      <c r="F10" s="138"/>
      <c r="G10" s="44"/>
      <c r="I10" s="99" t="s">
        <v>197</v>
      </c>
      <c r="J10" s="166">
        <f xml:space="preserve"> (D18*D19) / (1-D19-D18)</f>
        <v>0.79999999793328525</v>
      </c>
      <c r="L10" s="99" t="s">
        <v>199</v>
      </c>
      <c r="M10" s="171">
        <f>J10</f>
        <v>0.79999999793328525</v>
      </c>
      <c r="N10" t="s">
        <v>200</v>
      </c>
    </row>
    <row r="11" spans="1:14" ht="15.75" thickTop="1" x14ac:dyDescent="0.25">
      <c r="A11" s="44"/>
      <c r="B11" s="99"/>
      <c r="C11" s="140" t="s">
        <v>186</v>
      </c>
      <c r="D11" s="101" t="s">
        <v>40</v>
      </c>
      <c r="E11" s="118" t="s">
        <v>187</v>
      </c>
      <c r="F11" s="140" t="s">
        <v>39</v>
      </c>
      <c r="G11" s="163"/>
      <c r="M11" s="169"/>
    </row>
    <row r="12" spans="1:14" x14ac:dyDescent="0.25">
      <c r="A12" s="44"/>
      <c r="B12" s="99" t="s">
        <v>172</v>
      </c>
      <c r="C12" s="140">
        <v>10.083333327544617</v>
      </c>
      <c r="D12" s="140">
        <f>F2 * (C12^(-F3)) * (C13^F4) * (C14^F5) * (C15^F6)</f>
        <v>629.91096166586522</v>
      </c>
      <c r="E12" s="133">
        <f>C12*D12</f>
        <v>6351.6021931510986</v>
      </c>
      <c r="F12" s="140">
        <f>(C12*D12)/(1+$F$8) - ($F$7*D12)</f>
        <v>2099.703202539351</v>
      </c>
      <c r="G12" s="163"/>
      <c r="I12" s="99" t="s">
        <v>197</v>
      </c>
      <c r="J12" s="166">
        <f>(J4-F9/(C12/(1+F8))*(1-D19)) / (1-D18-D19)</f>
        <v>0.43999999834662806</v>
      </c>
      <c r="L12" s="99" t="s">
        <v>202</v>
      </c>
      <c r="M12" s="171">
        <f>J12</f>
        <v>0.43999999834662806</v>
      </c>
      <c r="N12" t="s">
        <v>201</v>
      </c>
    </row>
    <row r="13" spans="1:14" x14ac:dyDescent="0.25">
      <c r="A13" s="44"/>
      <c r="B13" s="99" t="s">
        <v>173</v>
      </c>
      <c r="C13" s="140">
        <v>10.083333201993646</v>
      </c>
      <c r="D13" s="140">
        <f>F2 * (C13^(-F3)) * (C12^F4) * (C14^F5) * (C15^F6)</f>
        <v>629.9109891171812</v>
      </c>
      <c r="E13" s="133">
        <f t="shared" ref="E13:E15" si="0">C13*D13</f>
        <v>6351.6023908659317</v>
      </c>
      <c r="F13" s="140">
        <f>(C13*D13)/(1+$F$8) - ($F$7*D13)</f>
        <v>2099.7032286834597</v>
      </c>
      <c r="G13" s="163"/>
      <c r="M13" s="169"/>
    </row>
    <row r="14" spans="1:14" x14ac:dyDescent="0.25">
      <c r="A14" s="44"/>
      <c r="B14" s="99" t="s">
        <v>184</v>
      </c>
      <c r="C14" s="140">
        <v>10.083333205418242</v>
      </c>
      <c r="D14" s="140">
        <f>F2 * (C14^(-F3)) * (C13^F4) * (C12^F5) * (C15^F6)</f>
        <v>629.9109868425453</v>
      </c>
      <c r="E14" s="133">
        <f t="shared" si="0"/>
        <v>6351.6023700872101</v>
      </c>
      <c r="F14" s="140">
        <f>(C14*D14)/(1+$F$8) - ($F$7*D14)</f>
        <v>2099.7032228841413</v>
      </c>
      <c r="G14" s="163"/>
      <c r="J14" s="116"/>
    </row>
    <row r="15" spans="1:14" x14ac:dyDescent="0.25">
      <c r="A15" s="44"/>
      <c r="B15" s="99" t="s">
        <v>185</v>
      </c>
      <c r="C15" s="140">
        <v>10.08333334597387</v>
      </c>
      <c r="D15" s="140">
        <f>F2 * (C15^(-F3)) * (C13^F4) * (C14^F5) * (C12^F6)</f>
        <v>629.91095821201111</v>
      </c>
      <c r="E15" s="133">
        <f t="shared" si="0"/>
        <v>6351.6021699335242</v>
      </c>
      <c r="F15" s="140">
        <f>(C15*D15)/(1+$F$8) - ($F$7*D15)</f>
        <v>2099.7032006205436</v>
      </c>
      <c r="G15" s="163"/>
    </row>
    <row r="16" spans="1:14" x14ac:dyDescent="0.25">
      <c r="A16" s="44"/>
      <c r="G16" s="44"/>
    </row>
    <row r="17" spans="1:10" ht="15.75" thickBot="1" x14ac:dyDescent="0.3">
      <c r="A17" s="44"/>
      <c r="B17" s="239" t="s">
        <v>26</v>
      </c>
      <c r="C17" s="239"/>
      <c r="D17" s="239"/>
      <c r="E17" s="239"/>
      <c r="F17" s="239"/>
      <c r="G17" s="76"/>
    </row>
    <row r="18" spans="1:10" ht="15.75" thickTop="1" x14ac:dyDescent="0.25">
      <c r="A18" s="44"/>
      <c r="C18" s="99" t="s">
        <v>191</v>
      </c>
      <c r="D18" s="166">
        <f>((C12/(1+F8)-F7) / (C12/(1+F8)))</f>
        <v>0.3999999996555475</v>
      </c>
      <c r="G18" s="44"/>
      <c r="J18" s="168"/>
    </row>
    <row r="19" spans="1:10" x14ac:dyDescent="0.25">
      <c r="A19" s="44"/>
      <c r="C19" s="99" t="s">
        <v>192</v>
      </c>
      <c r="D19" s="167">
        <f>F4/F3</f>
        <v>0.4</v>
      </c>
      <c r="G19" s="44"/>
    </row>
    <row r="20" spans="1:10" x14ac:dyDescent="0.25">
      <c r="A20" s="44"/>
      <c r="B20" s="44"/>
      <c r="C20" s="44"/>
      <c r="D20" s="44"/>
      <c r="E20" s="44"/>
      <c r="F20" s="44"/>
      <c r="G20" s="44"/>
    </row>
  </sheetData>
  <mergeCells count="2">
    <mergeCell ref="B1:F1"/>
    <mergeCell ref="B17:F17"/>
  </mergeCells>
  <conditionalFormatting sqref="J2">
    <cfRule type="cellIs" dxfId="32" priority="13" operator="between">
      <formula>0.05</formula>
      <formula>0.1</formula>
    </cfRule>
    <cfRule type="cellIs" dxfId="31" priority="14" operator="lessThan">
      <formula>0.05</formula>
    </cfRule>
    <cfRule type="cellIs" dxfId="30" priority="15" operator="greaterThan">
      <formula>0.1</formula>
    </cfRule>
  </conditionalFormatting>
  <conditionalFormatting sqref="J4">
    <cfRule type="cellIs" dxfId="29" priority="10" operator="between">
      <formula>0.05</formula>
      <formula>0.1</formula>
    </cfRule>
    <cfRule type="cellIs" dxfId="28" priority="11" operator="lessThan">
      <formula>0.05</formula>
    </cfRule>
    <cfRule type="cellIs" dxfId="27" priority="12" operator="greaterThan">
      <formula>0.1</formula>
    </cfRule>
  </conditionalFormatting>
  <conditionalFormatting sqref="J6">
    <cfRule type="cellIs" dxfId="26" priority="7" operator="between">
      <formula>0</formula>
      <formula>0.01</formula>
    </cfRule>
    <cfRule type="cellIs" dxfId="25" priority="8" operator="lessThan">
      <formula>0</formula>
    </cfRule>
    <cfRule type="cellIs" dxfId="24" priority="9" operator="greaterThan">
      <formula>0.01</formula>
    </cfRule>
  </conditionalFormatting>
  <conditionalFormatting sqref="J10">
    <cfRule type="cellIs" dxfId="23" priority="4" operator="between">
      <formula>0</formula>
      <formula>0.05</formula>
    </cfRule>
    <cfRule type="cellIs" dxfId="22" priority="5" operator="lessThan">
      <formula>0</formula>
    </cfRule>
    <cfRule type="cellIs" dxfId="21" priority="6" operator="greaterThan">
      <formula>0.05</formula>
    </cfRule>
  </conditionalFormatting>
  <conditionalFormatting sqref="J12">
    <cfRule type="cellIs" dxfId="20" priority="1" operator="between">
      <formula>0</formula>
      <formula>0.05</formula>
    </cfRule>
    <cfRule type="cellIs" dxfId="19" priority="2" operator="lessThan">
      <formula>0</formula>
    </cfRule>
    <cfRule type="cellIs" dxfId="18" priority="3" operator="greaterThan">
      <formula>0.05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UPP">
                <anchor moveWithCells="1" sizeWithCells="1">
                  <from>
                    <xdr:col>1</xdr:col>
                    <xdr:colOff>85725</xdr:colOff>
                    <xdr:row>20</xdr:row>
                    <xdr:rowOff>104775</xdr:rowOff>
                  </from>
                  <to>
                    <xdr:col>3</xdr:col>
                    <xdr:colOff>438150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FA822-C3C1-4C00-973A-343C37BFCFD7}">
  <sheetPr codeName="Hoja6">
    <tabColor rgb="FF0070C0"/>
  </sheetPr>
  <dimension ref="A1:BE268"/>
  <sheetViews>
    <sheetView showGridLines="0" showRowColHeaders="0" zoomScale="80" zoomScaleNormal="80" workbookViewId="0">
      <selection activeCell="H8" sqref="H8"/>
    </sheetView>
  </sheetViews>
  <sheetFormatPr baseColWidth="10" defaultRowHeight="15" x14ac:dyDescent="0.25"/>
  <cols>
    <col min="1" max="1" width="7.7109375" customWidth="1"/>
    <col min="2" max="5" width="11.7109375" customWidth="1"/>
    <col min="6" max="6" width="7.7109375" customWidth="1"/>
    <col min="7" max="8" width="11.7109375" customWidth="1"/>
    <col min="9" max="9" width="7.7109375" customWidth="1"/>
    <col min="10" max="13" width="11.7109375" customWidth="1"/>
    <col min="14" max="14" width="7.7109375" customWidth="1"/>
    <col min="15" max="15" width="11.7109375" customWidth="1"/>
    <col min="16" max="16" width="7.7109375" customWidth="1"/>
    <col min="17" max="20" width="11.7109375" customWidth="1"/>
    <col min="21" max="21" width="7.7109375" customWidth="1"/>
    <col min="22" max="22" width="11.42578125" style="5"/>
  </cols>
  <sheetData>
    <row r="1" spans="1:57" x14ac:dyDescent="0.25">
      <c r="A1" s="2"/>
      <c r="B1" s="236" t="s">
        <v>5</v>
      </c>
      <c r="C1" s="236"/>
      <c r="D1" s="236"/>
      <c r="E1" s="236"/>
      <c r="F1" s="2"/>
      <c r="G1" s="5"/>
      <c r="H1" s="5"/>
      <c r="I1" s="2"/>
      <c r="J1" s="236" t="s">
        <v>5</v>
      </c>
      <c r="K1" s="236"/>
      <c r="L1" s="236"/>
      <c r="M1" s="236"/>
      <c r="N1" s="2"/>
      <c r="O1" s="5"/>
      <c r="P1" s="2"/>
      <c r="Q1" s="236" t="s">
        <v>5</v>
      </c>
      <c r="R1" s="236"/>
      <c r="S1" s="236"/>
      <c r="T1" s="236"/>
      <c r="U1" s="2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</row>
    <row r="2" spans="1:57" x14ac:dyDescent="0.25">
      <c r="A2" s="2"/>
      <c r="B2" s="7"/>
      <c r="C2" s="8"/>
      <c r="D2" s="14" t="s">
        <v>70</v>
      </c>
      <c r="E2" s="15">
        <v>130</v>
      </c>
      <c r="F2" s="2"/>
      <c r="G2" s="5"/>
      <c r="H2" s="5"/>
      <c r="I2" s="2"/>
      <c r="J2" s="7"/>
      <c r="K2" s="8"/>
      <c r="L2" s="14" t="s">
        <v>83</v>
      </c>
      <c r="M2" s="15">
        <v>130</v>
      </c>
      <c r="N2" s="2"/>
      <c r="O2" s="5"/>
      <c r="P2" s="2"/>
      <c r="Q2" s="7"/>
      <c r="R2" s="8"/>
      <c r="S2" s="14" t="s">
        <v>83</v>
      </c>
      <c r="T2" s="15">
        <v>130</v>
      </c>
      <c r="U2" s="2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</row>
    <row r="3" spans="1:57" x14ac:dyDescent="0.25">
      <c r="A3" s="2"/>
      <c r="B3" s="8"/>
      <c r="C3" s="8"/>
      <c r="D3" s="21" t="s">
        <v>71</v>
      </c>
      <c r="E3" s="10">
        <v>1.5</v>
      </c>
      <c r="F3" s="2"/>
      <c r="G3" s="5"/>
      <c r="H3" s="5"/>
      <c r="I3" s="2"/>
      <c r="J3" s="8"/>
      <c r="K3" s="8"/>
      <c r="L3" s="21" t="s">
        <v>84</v>
      </c>
      <c r="M3" s="10">
        <v>1.5</v>
      </c>
      <c r="N3" s="2"/>
      <c r="O3" s="5"/>
      <c r="P3" s="2"/>
      <c r="Q3" s="8"/>
      <c r="R3" s="8"/>
      <c r="S3" s="21" t="s">
        <v>84</v>
      </c>
      <c r="T3" s="10">
        <v>1.5</v>
      </c>
      <c r="U3" s="2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</row>
    <row r="4" spans="1:57" x14ac:dyDescent="0.25">
      <c r="A4" s="2"/>
      <c r="B4" s="5"/>
      <c r="C4" s="5"/>
      <c r="D4" s="14" t="s">
        <v>72</v>
      </c>
      <c r="E4" s="15">
        <v>70</v>
      </c>
      <c r="F4" s="2"/>
      <c r="G4" s="5"/>
      <c r="H4" s="5"/>
      <c r="I4" s="2"/>
      <c r="J4" s="5"/>
      <c r="K4" s="5"/>
      <c r="L4" s="14" t="s">
        <v>85</v>
      </c>
      <c r="M4" s="15">
        <v>70</v>
      </c>
      <c r="N4" s="2"/>
      <c r="O4" s="5"/>
      <c r="P4" s="2"/>
      <c r="Q4" s="5"/>
      <c r="R4" s="5"/>
      <c r="S4" s="14" t="s">
        <v>85</v>
      </c>
      <c r="T4" s="15">
        <v>70</v>
      </c>
      <c r="U4" s="2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</row>
    <row r="5" spans="1:57" x14ac:dyDescent="0.25">
      <c r="A5" s="2"/>
      <c r="B5" s="5"/>
      <c r="C5" s="5"/>
      <c r="D5" s="21" t="s">
        <v>73</v>
      </c>
      <c r="E5" s="10">
        <v>2</v>
      </c>
      <c r="F5" s="2"/>
      <c r="G5" s="5"/>
      <c r="H5" s="5"/>
      <c r="I5" s="2"/>
      <c r="J5" s="5"/>
      <c r="K5" s="5"/>
      <c r="L5" s="21" t="s">
        <v>86</v>
      </c>
      <c r="M5" s="10">
        <v>2</v>
      </c>
      <c r="N5" s="2"/>
      <c r="O5" s="5"/>
      <c r="P5" s="2"/>
      <c r="Q5" s="5"/>
      <c r="R5" s="5"/>
      <c r="S5" s="21" t="s">
        <v>86</v>
      </c>
      <c r="T5" s="10">
        <v>1.5</v>
      </c>
      <c r="U5" s="2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</row>
    <row r="6" spans="1:57" x14ac:dyDescent="0.25">
      <c r="A6" s="2"/>
      <c r="B6" s="7"/>
      <c r="C6" s="8"/>
      <c r="D6" s="9" t="s">
        <v>11</v>
      </c>
      <c r="E6" s="10">
        <v>0.5</v>
      </c>
      <c r="F6" s="2"/>
      <c r="G6" s="5"/>
      <c r="H6" s="5"/>
      <c r="I6" s="2"/>
      <c r="J6" s="7"/>
      <c r="K6" s="8"/>
      <c r="L6" s="9" t="s">
        <v>11</v>
      </c>
      <c r="M6" s="10">
        <v>0.5</v>
      </c>
      <c r="N6" s="2"/>
      <c r="O6" s="5"/>
      <c r="P6" s="2"/>
      <c r="Q6" s="7"/>
      <c r="R6" s="8"/>
      <c r="S6" s="9" t="s">
        <v>11</v>
      </c>
      <c r="T6" s="10">
        <v>0.5</v>
      </c>
      <c r="U6" s="2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</row>
    <row r="7" spans="1:57" x14ac:dyDescent="0.25">
      <c r="A7" s="2"/>
      <c r="B7" s="5"/>
      <c r="C7" s="5"/>
      <c r="D7" s="12" t="s">
        <v>12</v>
      </c>
      <c r="E7" s="13">
        <v>1</v>
      </c>
      <c r="F7" s="2"/>
      <c r="G7" s="5"/>
      <c r="H7" s="5"/>
      <c r="I7" s="2"/>
      <c r="J7" s="5"/>
      <c r="K7" s="5"/>
      <c r="L7" s="12" t="s">
        <v>12</v>
      </c>
      <c r="M7" s="13">
        <v>1</v>
      </c>
      <c r="N7" s="2"/>
      <c r="O7" s="5"/>
      <c r="P7" s="2"/>
      <c r="Q7" s="5"/>
      <c r="R7" s="5"/>
      <c r="S7" s="12" t="s">
        <v>12</v>
      </c>
      <c r="T7" s="13">
        <v>1</v>
      </c>
      <c r="U7" s="2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</row>
    <row r="8" spans="1:57" x14ac:dyDescent="0.25">
      <c r="A8" s="2"/>
      <c r="B8" s="5"/>
      <c r="C8" s="5"/>
      <c r="D8" s="9" t="s">
        <v>13</v>
      </c>
      <c r="E8" s="10">
        <v>4</v>
      </c>
      <c r="F8" s="2"/>
      <c r="G8" s="5"/>
      <c r="H8" s="5"/>
      <c r="I8" s="2"/>
      <c r="J8" s="5"/>
      <c r="K8" s="5"/>
      <c r="L8" s="9" t="s">
        <v>13</v>
      </c>
      <c r="M8" s="10">
        <v>4</v>
      </c>
      <c r="N8" s="2"/>
      <c r="O8" s="5"/>
      <c r="P8" s="2"/>
      <c r="Q8" s="5"/>
      <c r="R8" s="5"/>
      <c r="S8" s="9" t="s">
        <v>13</v>
      </c>
      <c r="T8" s="10">
        <v>4</v>
      </c>
      <c r="U8" s="2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</row>
    <row r="9" spans="1:57" x14ac:dyDescent="0.25">
      <c r="A9" s="2"/>
      <c r="B9" s="5"/>
      <c r="C9" s="5"/>
      <c r="D9" s="16" t="s">
        <v>17</v>
      </c>
      <c r="E9" s="20">
        <v>0.21</v>
      </c>
      <c r="F9" s="2"/>
      <c r="G9" s="5"/>
      <c r="H9" s="5"/>
      <c r="I9" s="2"/>
      <c r="J9" s="5"/>
      <c r="K9" s="5"/>
      <c r="L9" s="16" t="s">
        <v>17</v>
      </c>
      <c r="M9" s="20">
        <v>0.21</v>
      </c>
      <c r="N9" s="2"/>
      <c r="O9" s="5"/>
      <c r="P9" s="2"/>
      <c r="Q9" s="5"/>
      <c r="R9" s="5"/>
      <c r="S9" s="16" t="s">
        <v>17</v>
      </c>
      <c r="T9" s="20">
        <v>0.21</v>
      </c>
      <c r="U9" s="2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</row>
    <row r="10" spans="1:57" x14ac:dyDescent="0.25">
      <c r="A10" s="2"/>
      <c r="B10" s="5"/>
      <c r="C10" s="5"/>
      <c r="D10" s="3"/>
      <c r="E10" s="48"/>
      <c r="F10" s="2"/>
      <c r="G10" s="5"/>
      <c r="H10" s="5"/>
      <c r="I10" s="2"/>
      <c r="J10" s="5"/>
      <c r="K10" s="5"/>
      <c r="L10" s="3"/>
      <c r="M10" s="48"/>
      <c r="N10" s="2"/>
      <c r="O10" s="5"/>
      <c r="P10" s="2"/>
      <c r="Q10" s="5"/>
      <c r="R10" s="5"/>
      <c r="S10" s="3"/>
      <c r="T10" s="48"/>
      <c r="U10" s="2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</row>
    <row r="11" spans="1:57" ht="15.75" thickBot="1" x14ac:dyDescent="0.3">
      <c r="A11" s="2"/>
      <c r="B11" s="234" t="s">
        <v>82</v>
      </c>
      <c r="C11" s="234"/>
      <c r="D11" s="234"/>
      <c r="E11" s="234"/>
      <c r="F11" s="2"/>
      <c r="G11" s="5"/>
      <c r="H11" s="5"/>
      <c r="I11" s="2"/>
      <c r="J11" s="234" t="s">
        <v>82</v>
      </c>
      <c r="K11" s="234"/>
      <c r="L11" s="234"/>
      <c r="M11" s="234"/>
      <c r="N11" s="2"/>
      <c r="O11" s="5"/>
      <c r="P11" s="2"/>
      <c r="Q11" s="234" t="s">
        <v>82</v>
      </c>
      <c r="R11" s="234"/>
      <c r="S11" s="234"/>
      <c r="T11" s="234"/>
      <c r="U11" s="2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</row>
    <row r="12" spans="1:57" ht="15.75" thickTop="1" x14ac:dyDescent="0.25">
      <c r="A12" s="2"/>
      <c r="B12" s="3" t="s">
        <v>77</v>
      </c>
      <c r="C12" s="6">
        <f>(E12/E2)^(-1/E3)</f>
        <v>15.362015037570872</v>
      </c>
      <c r="D12" s="3" t="s">
        <v>74</v>
      </c>
      <c r="E12" s="6">
        <v>2.1590916282576402</v>
      </c>
      <c r="F12" s="2"/>
      <c r="G12" s="5"/>
      <c r="H12" s="5"/>
      <c r="I12" s="2"/>
      <c r="J12" s="3" t="s">
        <v>115</v>
      </c>
      <c r="K12" s="6">
        <f>(M12/M2)^(-1/M3)</f>
        <v>15.362015038135803</v>
      </c>
      <c r="L12" s="3" t="s">
        <v>88</v>
      </c>
      <c r="M12" s="6">
        <v>2.1590916281385391</v>
      </c>
      <c r="N12" s="2"/>
      <c r="O12" s="5"/>
      <c r="P12" s="2"/>
      <c r="Q12" s="3" t="s">
        <v>115</v>
      </c>
      <c r="R12" s="6">
        <f>(T12/T2)^(-1/T3)</f>
        <v>17.768475130059507</v>
      </c>
      <c r="S12" s="3" t="s">
        <v>88</v>
      </c>
      <c r="T12" s="6">
        <v>1.7356738253190507</v>
      </c>
      <c r="U12" s="2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</row>
    <row r="13" spans="1:57" x14ac:dyDescent="0.25">
      <c r="A13" s="2"/>
      <c r="B13" s="3" t="s">
        <v>78</v>
      </c>
      <c r="C13" s="6">
        <f>(E13/E4)^(-1/E5)</f>
        <v>15.362015045267086</v>
      </c>
      <c r="D13" s="3" t="s">
        <v>75</v>
      </c>
      <c r="E13" s="6">
        <v>0.29662084501272057</v>
      </c>
      <c r="F13" s="2"/>
      <c r="G13" s="5"/>
      <c r="H13" s="5"/>
      <c r="I13" s="2"/>
      <c r="J13" s="3" t="s">
        <v>114</v>
      </c>
      <c r="K13" s="6">
        <f>(M13/M4)^(-1/M5)</f>
        <v>15.362015045832029</v>
      </c>
      <c r="L13" s="3" t="s">
        <v>87</v>
      </c>
      <c r="M13" s="6">
        <v>0.29662084499090385</v>
      </c>
      <c r="N13" s="2"/>
      <c r="O13" s="5"/>
      <c r="P13" s="2"/>
      <c r="Q13" s="3" t="s">
        <v>114</v>
      </c>
      <c r="R13" s="6">
        <f>(T13/T4)^(-1/T5)</f>
        <v>17.768475133898605</v>
      </c>
      <c r="S13" s="3" t="s">
        <v>87</v>
      </c>
      <c r="T13" s="6">
        <v>0.9345935979458232</v>
      </c>
      <c r="U13" s="2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</row>
    <row r="14" spans="1:57" x14ac:dyDescent="0.25">
      <c r="A14" s="2"/>
      <c r="B14" s="3"/>
      <c r="C14" s="6"/>
      <c r="D14" s="3" t="s">
        <v>76</v>
      </c>
      <c r="E14" s="6">
        <f>E12+E13</f>
        <v>2.4557124732703608</v>
      </c>
      <c r="F14" s="2"/>
      <c r="G14" s="5"/>
      <c r="H14" s="5"/>
      <c r="I14" s="2"/>
      <c r="J14" s="3"/>
      <c r="K14" s="6"/>
      <c r="L14" s="3" t="s">
        <v>76</v>
      </c>
      <c r="M14" s="6">
        <f>M12+M13</f>
        <v>2.4557124731294429</v>
      </c>
      <c r="N14" s="2"/>
      <c r="O14" s="5"/>
      <c r="P14" s="2"/>
      <c r="Q14" s="3"/>
      <c r="R14" s="6"/>
      <c r="S14" s="3" t="s">
        <v>76</v>
      </c>
      <c r="T14" s="6">
        <f>T12+T13</f>
        <v>2.6702674232648738</v>
      </c>
      <c r="U14" s="2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</row>
    <row r="15" spans="1:57" x14ac:dyDescent="0.25">
      <c r="A15" s="2"/>
      <c r="B15" s="3" t="s">
        <v>79</v>
      </c>
      <c r="C15" s="6">
        <f>(C12*E12) + (C13*E13)</f>
        <v>37.724691944612495</v>
      </c>
      <c r="D15" s="3"/>
      <c r="E15" s="6"/>
      <c r="F15" s="2"/>
      <c r="G15" s="5"/>
      <c r="H15" s="5"/>
      <c r="I15" s="2"/>
      <c r="J15" s="3" t="s">
        <v>79</v>
      </c>
      <c r="K15" s="6">
        <f>(K12*M12) + (K13*M13)</f>
        <v>37.724691943835026</v>
      </c>
      <c r="L15" s="3"/>
      <c r="M15" s="6"/>
      <c r="N15" s="2"/>
      <c r="O15" s="5"/>
      <c r="P15" s="2"/>
      <c r="Q15" s="3" t="s">
        <v>79</v>
      </c>
      <c r="R15" s="6">
        <f>(R12*T12) + (R13*T13)</f>
        <v>47.44658030447799</v>
      </c>
      <c r="S15" s="3"/>
      <c r="T15" s="6"/>
      <c r="U15" s="2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</row>
    <row r="16" spans="1:57" x14ac:dyDescent="0.25">
      <c r="A16" s="2"/>
      <c r="B16" s="3" t="s">
        <v>80</v>
      </c>
      <c r="C16" s="6">
        <f>E6/ 3*(E14^3) -E7/ 2*(E14^2) +E8* E14</f>
        <v>9.2757934168280123</v>
      </c>
      <c r="D16" s="5"/>
      <c r="E16" s="5"/>
      <c r="F16" s="2"/>
      <c r="G16" s="5"/>
      <c r="H16" s="5"/>
      <c r="I16" s="2"/>
      <c r="J16" s="3" t="s">
        <v>80</v>
      </c>
      <c r="K16" s="6">
        <f>M6/ 3*(M14^3) -M7/ 2*(M14^2) +M8* M14</f>
        <v>9.2757934161854898</v>
      </c>
      <c r="L16" s="5"/>
      <c r="M16" s="5"/>
      <c r="N16" s="2"/>
      <c r="O16" s="5"/>
      <c r="P16" s="2"/>
      <c r="Q16" s="3" t="s">
        <v>80</v>
      </c>
      <c r="R16" s="6">
        <f>T6/ 3*(T14^3) -T7/ 2*(T14^2) +T8* T14</f>
        <v>10.289219449517143</v>
      </c>
      <c r="S16" s="5"/>
      <c r="T16" s="5"/>
      <c r="U16" s="2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</row>
    <row r="17" spans="1:57" x14ac:dyDescent="0.25">
      <c r="A17" s="2"/>
      <c r="B17" s="3" t="s">
        <v>81</v>
      </c>
      <c r="C17" s="6">
        <f>C15/(1+E9) - C16</f>
        <v>21.901637942355869</v>
      </c>
      <c r="D17" s="5"/>
      <c r="E17" s="5"/>
      <c r="F17" s="2"/>
      <c r="G17" s="5"/>
      <c r="H17" s="5"/>
      <c r="I17" s="2"/>
      <c r="J17" s="3" t="s">
        <v>81</v>
      </c>
      <c r="K17" s="6">
        <f>K15/(1+M9) - K16</f>
        <v>21.901637942355855</v>
      </c>
      <c r="L17" s="5"/>
      <c r="M17" s="5"/>
      <c r="N17" s="2"/>
      <c r="O17" s="5"/>
      <c r="P17" s="2"/>
      <c r="Q17" s="3" t="s">
        <v>81</v>
      </c>
      <c r="R17" s="6">
        <f>R15/(1+T9) - R16</f>
        <v>28.922830388894425</v>
      </c>
      <c r="S17" s="5"/>
      <c r="T17" s="5"/>
      <c r="U17" s="2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</row>
    <row r="18" spans="1:57" x14ac:dyDescent="0.25">
      <c r="A18" s="2"/>
      <c r="B18" s="5"/>
      <c r="C18" s="5"/>
      <c r="D18" s="5"/>
      <c r="E18" s="5"/>
      <c r="F18" s="2"/>
      <c r="G18" s="5"/>
      <c r="H18" s="5"/>
      <c r="I18" s="2"/>
      <c r="J18" s="5"/>
      <c r="K18" s="5"/>
      <c r="L18" s="5"/>
      <c r="M18" s="5"/>
      <c r="N18" s="2"/>
      <c r="O18" s="5"/>
      <c r="P18" s="2"/>
      <c r="Q18" s="5"/>
      <c r="R18" s="5"/>
      <c r="S18" s="5"/>
      <c r="T18" s="5"/>
      <c r="U18" s="2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</row>
    <row r="19" spans="1:57" ht="15.75" thickBot="1" x14ac:dyDescent="0.3">
      <c r="A19" s="2"/>
      <c r="B19" s="234" t="s">
        <v>95</v>
      </c>
      <c r="C19" s="234"/>
      <c r="D19" s="234"/>
      <c r="E19" s="234"/>
      <c r="F19" s="2"/>
      <c r="G19" s="5"/>
      <c r="H19" s="5"/>
      <c r="I19" s="2"/>
      <c r="J19" s="234" t="s">
        <v>94</v>
      </c>
      <c r="K19" s="234"/>
      <c r="L19" s="234"/>
      <c r="M19" s="234"/>
      <c r="N19" s="2"/>
      <c r="O19" s="5"/>
      <c r="P19" s="2"/>
      <c r="Q19" s="234" t="s">
        <v>113</v>
      </c>
      <c r="R19" s="234"/>
      <c r="S19" s="234"/>
      <c r="T19" s="234"/>
      <c r="U19" s="2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</row>
    <row r="20" spans="1:57" ht="15.75" thickTop="1" x14ac:dyDescent="0.25">
      <c r="A20" s="2"/>
      <c r="B20" s="3" t="s">
        <v>77</v>
      </c>
      <c r="C20" s="6">
        <f>(E20/E2)^(-1/E3)</f>
        <v>16.667124520902266</v>
      </c>
      <c r="D20" s="3" t="s">
        <v>74</v>
      </c>
      <c r="E20" s="6">
        <v>1.9105232721246899</v>
      </c>
      <c r="F20" s="2"/>
      <c r="G20" s="5"/>
      <c r="H20" s="5"/>
      <c r="I20" s="2"/>
      <c r="J20" s="3" t="s">
        <v>91</v>
      </c>
      <c r="K20" s="6">
        <f>(M4*M20^(1-1/M5))/(1-1/M5)</f>
        <v>335.68297085158179</v>
      </c>
      <c r="L20" s="3" t="s">
        <v>87</v>
      </c>
      <c r="M20" s="6">
        <v>5.7491355571297911</v>
      </c>
      <c r="N20" s="2"/>
      <c r="O20" s="49"/>
      <c r="P20" s="2"/>
      <c r="Q20" s="3" t="s">
        <v>119</v>
      </c>
      <c r="R20" s="96">
        <f>(T24*T25)/(T3-1)</f>
        <v>96.018756086830734</v>
      </c>
      <c r="S20" s="3" t="s">
        <v>117</v>
      </c>
      <c r="T20" s="6">
        <f>R21</f>
        <v>33.847159209837436</v>
      </c>
      <c r="U20" s="2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</row>
    <row r="21" spans="1:57" x14ac:dyDescent="0.25">
      <c r="A21" s="2"/>
      <c r="B21" s="3" t="s">
        <v>78</v>
      </c>
      <c r="C21" s="6">
        <f>IFERROR((E21/E4)^(-1/E5), 0)</f>
        <v>11.11140863667918</v>
      </c>
      <c r="D21" s="3" t="s">
        <v>75</v>
      </c>
      <c r="E21" s="6">
        <v>0.56696963576013693</v>
      </c>
      <c r="F21" s="2"/>
      <c r="G21" s="5"/>
      <c r="H21" s="5"/>
      <c r="I21" s="2"/>
      <c r="J21" s="3" t="s">
        <v>90</v>
      </c>
      <c r="K21" s="6">
        <f>(M2*M21^(1-1/M3))/(1-1/M3)</f>
        <v>775.95257264223824</v>
      </c>
      <c r="L21" s="3" t="s">
        <v>88</v>
      </c>
      <c r="M21" s="6">
        <v>7.8761088755142126</v>
      </c>
      <c r="N21" s="2"/>
      <c r="O21" s="5"/>
      <c r="P21" s="2"/>
      <c r="Q21" s="3" t="s">
        <v>120</v>
      </c>
      <c r="R21" s="6">
        <f>(T21*T22)/(T5-1)</f>
        <v>33.847159209837436</v>
      </c>
      <c r="S21" s="3" t="s">
        <v>114</v>
      </c>
      <c r="T21" s="6">
        <v>17.108487738593904</v>
      </c>
      <c r="U21" s="2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</row>
    <row r="22" spans="1:57" x14ac:dyDescent="0.25">
      <c r="A22" s="2"/>
      <c r="B22" s="3"/>
      <c r="C22" s="6"/>
      <c r="D22" s="3" t="s">
        <v>76</v>
      </c>
      <c r="E22" s="6">
        <f>E20+E21</f>
        <v>2.4774929078848267</v>
      </c>
      <c r="F22" s="2"/>
      <c r="G22" s="5"/>
      <c r="H22" s="5"/>
      <c r="I22" s="2"/>
      <c r="J22" s="3" t="s">
        <v>89</v>
      </c>
      <c r="K22" s="6">
        <f>(M2*M20^(1-1/M3))/(1-1/M3)</f>
        <v>698.6593196825537</v>
      </c>
      <c r="L22" s="3" t="s">
        <v>92</v>
      </c>
      <c r="M22" s="6">
        <f>K20</f>
        <v>335.68297085158179</v>
      </c>
      <c r="N22" s="2"/>
      <c r="O22" s="5"/>
      <c r="P22" s="2"/>
      <c r="Q22" s="3" t="s">
        <v>121</v>
      </c>
      <c r="R22" s="6">
        <f>(T21*R23)/(T3-1)</f>
        <v>62.859009961126667</v>
      </c>
      <c r="S22" s="3" t="s">
        <v>87</v>
      </c>
      <c r="T22" s="6">
        <f>T4*T21^(-T5)</f>
        <v>0.98919202348562563</v>
      </c>
      <c r="U22" s="2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</row>
    <row r="23" spans="1:57" x14ac:dyDescent="0.25">
      <c r="A23" s="2"/>
      <c r="B23" s="3" t="s">
        <v>79</v>
      </c>
      <c r="C23" s="6">
        <f>(C20*E20) + (C21*E21)</f>
        <v>38.142760584103883</v>
      </c>
      <c r="D23" s="3"/>
      <c r="E23" s="6"/>
      <c r="F23" s="2"/>
      <c r="G23" s="5"/>
      <c r="H23" s="5"/>
      <c r="I23" s="2"/>
      <c r="J23" s="3"/>
      <c r="K23" s="6"/>
      <c r="L23" s="3" t="s">
        <v>93</v>
      </c>
      <c r="M23" s="6">
        <f>K21-(K22-M22)</f>
        <v>412.97622381126632</v>
      </c>
      <c r="N23" s="2"/>
      <c r="O23" s="5"/>
      <c r="P23" s="2"/>
      <c r="Q23" s="3" t="s">
        <v>116</v>
      </c>
      <c r="R23" s="6">
        <f>T2*T21^(-T3)</f>
        <v>1.8370709007590189</v>
      </c>
      <c r="S23" s="3" t="s">
        <v>118</v>
      </c>
      <c r="T23" s="6">
        <f>R20-R22+T20</f>
        <v>67.006905335541504</v>
      </c>
      <c r="U23" s="2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</row>
    <row r="24" spans="1:57" x14ac:dyDescent="0.25">
      <c r="A24" s="2"/>
      <c r="B24" s="3" t="s">
        <v>80</v>
      </c>
      <c r="C24" s="6">
        <f xml:space="preserve"> E6/3*(E22^3) - E7/2*(E22^2) + E8*E22</f>
        <v>9.3754493922973428</v>
      </c>
      <c r="D24" s="5"/>
      <c r="E24" s="5"/>
      <c r="F24" s="2"/>
      <c r="G24" s="5"/>
      <c r="H24" s="5"/>
      <c r="I24" s="2"/>
      <c r="J24" s="3" t="s">
        <v>81</v>
      </c>
      <c r="K24" s="6">
        <f>(M23+M22)/(1+M9) - (M6/3*M20^3-M7/2*M20^2+M8*M20) - (M6/3*M21^3-M7/2*M21^2+M8*M21)</f>
        <v>498.66795064667519</v>
      </c>
      <c r="L24" s="5"/>
      <c r="M24" s="5"/>
      <c r="N24" s="2"/>
      <c r="O24" s="5"/>
      <c r="P24" s="2"/>
      <c r="Q24" s="3" t="s">
        <v>76</v>
      </c>
      <c r="R24" s="6">
        <f>(0.5*T25) + (0.5*T22)</f>
        <v>3.7684668313102789</v>
      </c>
      <c r="S24" s="3" t="s">
        <v>115</v>
      </c>
      <c r="T24" s="6">
        <v>7.3322040925484995</v>
      </c>
      <c r="U24" s="2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</row>
    <row r="25" spans="1:57" x14ac:dyDescent="0.25">
      <c r="A25" s="2"/>
      <c r="B25" s="3" t="s">
        <v>81</v>
      </c>
      <c r="C25" s="6">
        <f>C23/(1+E9) - C24</f>
        <v>22.147493239193473</v>
      </c>
      <c r="D25" s="5"/>
      <c r="E25" s="5"/>
      <c r="F25" s="2"/>
      <c r="G25" s="5"/>
      <c r="H25" s="5"/>
      <c r="I25" s="2"/>
      <c r="J25" s="5"/>
      <c r="K25" s="5"/>
      <c r="L25" s="5"/>
      <c r="M25" s="5"/>
      <c r="N25" s="2"/>
      <c r="O25" s="5"/>
      <c r="P25" s="2"/>
      <c r="Q25" s="5"/>
      <c r="R25" s="5"/>
      <c r="S25" s="3" t="s">
        <v>88</v>
      </c>
      <c r="T25" s="6">
        <f>T2*T24^(-T3)</f>
        <v>6.5477416391349319</v>
      </c>
      <c r="U25" s="2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</row>
    <row r="26" spans="1:57" ht="15.75" thickBot="1" x14ac:dyDescent="0.3">
      <c r="A26" s="2"/>
      <c r="B26" s="5"/>
      <c r="C26" s="5"/>
      <c r="D26" s="5"/>
      <c r="E26" s="5"/>
      <c r="F26" s="2"/>
      <c r="G26" s="5"/>
      <c r="H26" s="5"/>
      <c r="I26" s="2"/>
      <c r="J26" s="234" t="s">
        <v>26</v>
      </c>
      <c r="K26" s="234"/>
      <c r="L26" s="234"/>
      <c r="M26" s="234"/>
      <c r="N26" s="2"/>
      <c r="O26" s="5"/>
      <c r="P26" s="2"/>
      <c r="Q26" s="3" t="s">
        <v>81</v>
      </c>
      <c r="R26" s="6">
        <f xml:space="preserve"> (0.5*T23 + 0.5*T20) + (0.5*T24*T25+0.5*T21*T22) - (T6/3*R24^3-T7/2*R24^2+T8*R24)</f>
        <v>66.00076702396791</v>
      </c>
      <c r="S26" s="5"/>
      <c r="T26" s="5"/>
      <c r="U26" s="2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</row>
    <row r="27" spans="1:57" ht="16.5" thickTop="1" thickBot="1" x14ac:dyDescent="0.3">
      <c r="A27" s="2"/>
      <c r="B27" s="234" t="s">
        <v>26</v>
      </c>
      <c r="C27" s="234"/>
      <c r="D27" s="234"/>
      <c r="E27" s="234"/>
      <c r="F27" s="2"/>
      <c r="G27" s="5"/>
      <c r="H27" s="5"/>
      <c r="I27" s="2"/>
      <c r="J27" s="5"/>
      <c r="K27" s="3" t="s">
        <v>36</v>
      </c>
      <c r="L27" s="25">
        <f>K17</f>
        <v>21.901637942355855</v>
      </c>
      <c r="M27" s="5"/>
      <c r="N27" s="2"/>
      <c r="O27" s="5"/>
      <c r="P27" s="2"/>
      <c r="Q27" s="234" t="s">
        <v>26</v>
      </c>
      <c r="R27" s="234"/>
      <c r="S27" s="234"/>
      <c r="T27" s="234"/>
      <c r="U27" s="2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</row>
    <row r="28" spans="1:57" ht="15.75" thickTop="1" x14ac:dyDescent="0.25">
      <c r="A28" s="2"/>
      <c r="B28" s="5"/>
      <c r="C28" s="3" t="s">
        <v>36</v>
      </c>
      <c r="D28" s="25">
        <f>C17</f>
        <v>21.901637942355869</v>
      </c>
      <c r="E28" s="5"/>
      <c r="F28" s="2"/>
      <c r="G28" s="5"/>
      <c r="H28" s="5"/>
      <c r="I28" s="2"/>
      <c r="J28" s="5"/>
      <c r="K28" s="3" t="s">
        <v>55</v>
      </c>
      <c r="L28" s="25">
        <f>K24</f>
        <v>498.66795064667519</v>
      </c>
      <c r="M28" s="5"/>
      <c r="N28" s="2"/>
      <c r="O28" s="5"/>
      <c r="P28" s="2"/>
      <c r="Q28" s="5"/>
      <c r="R28" s="3" t="s">
        <v>36</v>
      </c>
      <c r="S28" s="25">
        <f>R17</f>
        <v>28.922830388894425</v>
      </c>
      <c r="T28" s="5"/>
      <c r="U28" s="2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</row>
    <row r="29" spans="1:57" x14ac:dyDescent="0.25">
      <c r="A29" s="2"/>
      <c r="B29" s="5"/>
      <c r="C29" s="3" t="s">
        <v>55</v>
      </c>
      <c r="D29" s="25">
        <f>C25</f>
        <v>22.147493239193473</v>
      </c>
      <c r="E29" s="5"/>
      <c r="F29" s="2"/>
      <c r="G29" s="5"/>
      <c r="H29" s="5"/>
      <c r="I29" s="2"/>
      <c r="J29" s="5"/>
      <c r="K29" s="3" t="s">
        <v>34</v>
      </c>
      <c r="L29" s="23">
        <f>L28/L27-1</f>
        <v>21.768523156082995</v>
      </c>
      <c r="M29" s="5"/>
      <c r="N29" s="2"/>
      <c r="O29" s="5"/>
      <c r="P29" s="2"/>
      <c r="Q29" s="5"/>
      <c r="R29" s="3" t="s">
        <v>55</v>
      </c>
      <c r="S29" s="25">
        <f>R26</f>
        <v>66.00076702396791</v>
      </c>
      <c r="T29" s="5"/>
      <c r="U29" s="2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</row>
    <row r="30" spans="1:57" x14ac:dyDescent="0.25">
      <c r="A30" s="2"/>
      <c r="B30" s="5"/>
      <c r="C30" s="3" t="s">
        <v>34</v>
      </c>
      <c r="D30" s="23">
        <f>D29/D28-1</f>
        <v>1.1225429690906452E-2</v>
      </c>
      <c r="E30" s="5"/>
      <c r="F30" s="2"/>
      <c r="G30" s="5"/>
      <c r="H30" s="5"/>
      <c r="I30" s="2"/>
      <c r="J30" s="2"/>
      <c r="K30" s="2"/>
      <c r="L30" s="2"/>
      <c r="M30" s="2"/>
      <c r="N30" s="2"/>
      <c r="O30" s="5"/>
      <c r="P30" s="2"/>
      <c r="Q30" s="5"/>
      <c r="R30" s="3" t="s">
        <v>34</v>
      </c>
      <c r="S30" s="23">
        <f>S29/S28-1</f>
        <v>1.281960864013862</v>
      </c>
      <c r="T30" s="5"/>
      <c r="U30" s="2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</row>
    <row r="31" spans="1:57" x14ac:dyDescent="0.25">
      <c r="A31" s="2"/>
      <c r="B31" s="2"/>
      <c r="C31" s="2"/>
      <c r="D31" s="2"/>
      <c r="E31" s="2"/>
      <c r="F31" s="2"/>
      <c r="G31" s="5"/>
      <c r="H31" s="5"/>
      <c r="I31" s="5"/>
      <c r="J31" s="5"/>
      <c r="K31" s="5"/>
      <c r="L31" s="5"/>
      <c r="M31" s="5"/>
      <c r="N31" s="5"/>
      <c r="O31" s="5"/>
      <c r="P31" s="2"/>
      <c r="Q31" s="2"/>
      <c r="R31" s="2"/>
      <c r="S31" s="2"/>
      <c r="T31" s="2"/>
      <c r="U31" s="2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</row>
    <row r="32" spans="1:57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</row>
    <row r="33" spans="1:57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</row>
    <row r="34" spans="1:57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</row>
    <row r="35" spans="1:57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</row>
    <row r="36" spans="1:57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</row>
    <row r="37" spans="1:57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</row>
    <row r="38" spans="1:57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</row>
    <row r="39" spans="1:57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</row>
    <row r="40" spans="1:57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</row>
    <row r="41" spans="1:57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</row>
    <row r="42" spans="1:57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</row>
    <row r="43" spans="1:57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</row>
    <row r="44" spans="1:57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</row>
    <row r="45" spans="1:57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</row>
    <row r="46" spans="1:57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</row>
    <row r="47" spans="1:57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</row>
    <row r="48" spans="1:57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</row>
    <row r="49" spans="1:57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</row>
    <row r="50" spans="1:57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</row>
    <row r="51" spans="1:57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</row>
    <row r="52" spans="1:57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</row>
    <row r="53" spans="1:57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</row>
    <row r="54" spans="1:57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</row>
    <row r="55" spans="1:57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</row>
    <row r="56" spans="1:57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</row>
    <row r="57" spans="1:57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</row>
    <row r="58" spans="1:57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</row>
    <row r="59" spans="1:57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</row>
    <row r="60" spans="1:57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</row>
    <row r="61" spans="1:57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</row>
    <row r="62" spans="1:57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</row>
    <row r="63" spans="1:57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</row>
    <row r="64" spans="1:57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</row>
    <row r="65" spans="1:57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</row>
    <row r="66" spans="1:57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</row>
    <row r="67" spans="1:57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</row>
    <row r="68" spans="1:57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</row>
    <row r="69" spans="1:57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</row>
    <row r="70" spans="1:57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</row>
    <row r="71" spans="1:57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</row>
    <row r="72" spans="1:57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</row>
    <row r="73" spans="1:57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</row>
    <row r="74" spans="1:57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</row>
    <row r="75" spans="1:57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</row>
    <row r="76" spans="1:57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</row>
    <row r="77" spans="1:57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</row>
    <row r="78" spans="1:57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</row>
    <row r="79" spans="1:57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</row>
    <row r="80" spans="1:57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</row>
    <row r="81" spans="1:57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</row>
    <row r="82" spans="1:57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</row>
    <row r="83" spans="1:57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</row>
    <row r="84" spans="1:57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</row>
    <row r="85" spans="1:57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</row>
    <row r="86" spans="1:57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</row>
    <row r="87" spans="1:57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</row>
    <row r="88" spans="1:57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</row>
    <row r="89" spans="1:57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</row>
    <row r="90" spans="1:57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</row>
    <row r="91" spans="1:57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</row>
    <row r="92" spans="1:57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</row>
    <row r="93" spans="1:57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</row>
    <row r="94" spans="1:57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</row>
    <row r="95" spans="1:57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</row>
    <row r="96" spans="1:57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</row>
    <row r="97" spans="1:57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</row>
    <row r="98" spans="1:57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</row>
    <row r="99" spans="1:57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</row>
    <row r="100" spans="1:57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</row>
    <row r="101" spans="1:57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</row>
    <row r="102" spans="1:57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</row>
    <row r="103" spans="1:57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</row>
    <row r="104" spans="1:57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</row>
    <row r="105" spans="1:57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</row>
    <row r="106" spans="1:57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</row>
    <row r="107" spans="1:57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</row>
    <row r="108" spans="1:57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</row>
    <row r="109" spans="1:57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</row>
    <row r="110" spans="1:57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</row>
    <row r="111" spans="1:57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</row>
    <row r="112" spans="1:57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</row>
    <row r="113" spans="1:57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</row>
    <row r="114" spans="1:57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</row>
    <row r="115" spans="1:57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</row>
    <row r="116" spans="1:57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</row>
    <row r="117" spans="1:57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</row>
    <row r="118" spans="1:57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</row>
    <row r="119" spans="1:57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</row>
    <row r="120" spans="1:57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</row>
    <row r="121" spans="1:57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</row>
    <row r="122" spans="1:57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</row>
    <row r="123" spans="1:57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</row>
    <row r="124" spans="1:57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</row>
    <row r="125" spans="1:57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</row>
    <row r="126" spans="1:57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</row>
    <row r="127" spans="1:57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</row>
    <row r="128" spans="1:57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</row>
    <row r="129" spans="1:57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</row>
    <row r="130" spans="1:57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</row>
    <row r="131" spans="1:57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</row>
    <row r="132" spans="1:57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</row>
    <row r="133" spans="1:57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</row>
    <row r="134" spans="1:57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</row>
    <row r="135" spans="1:57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</row>
    <row r="136" spans="1:57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</row>
    <row r="137" spans="1:57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</row>
    <row r="138" spans="1:57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</row>
    <row r="139" spans="1:57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</row>
    <row r="140" spans="1:57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</row>
    <row r="141" spans="1:57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</row>
    <row r="142" spans="1:57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</row>
    <row r="143" spans="1:57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</row>
    <row r="144" spans="1:57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</row>
    <row r="145" spans="1:57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</row>
    <row r="146" spans="1:57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</row>
    <row r="147" spans="1:57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</row>
    <row r="148" spans="1:57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</row>
    <row r="149" spans="1:57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</row>
    <row r="150" spans="1:57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</row>
    <row r="151" spans="1:57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</row>
    <row r="152" spans="1:57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</row>
    <row r="153" spans="1:57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</row>
    <row r="154" spans="1:57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</row>
    <row r="155" spans="1:57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</row>
    <row r="156" spans="1:57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</row>
    <row r="157" spans="1:57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</row>
    <row r="158" spans="1:57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</row>
    <row r="159" spans="1:57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</row>
    <row r="160" spans="1:57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</row>
    <row r="161" spans="1:57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</row>
    <row r="162" spans="1:57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</row>
    <row r="163" spans="1:57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</row>
    <row r="164" spans="1:57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</row>
    <row r="165" spans="1:57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</row>
    <row r="166" spans="1:57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</row>
    <row r="167" spans="1:57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</row>
    <row r="168" spans="1:57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</row>
    <row r="169" spans="1:57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</row>
    <row r="170" spans="1:57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</row>
    <row r="171" spans="1:57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</row>
    <row r="172" spans="1:57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</row>
    <row r="173" spans="1:57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</row>
    <row r="174" spans="1:57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</row>
    <row r="175" spans="1:57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</row>
    <row r="176" spans="1:57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</row>
    <row r="177" spans="1:57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</row>
    <row r="178" spans="1:57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</row>
    <row r="179" spans="1:57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</row>
    <row r="180" spans="1:57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</row>
    <row r="181" spans="1:57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</row>
    <row r="182" spans="1:57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</row>
    <row r="183" spans="1:57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</row>
    <row r="184" spans="1:57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</row>
    <row r="185" spans="1:57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</row>
    <row r="186" spans="1:57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</row>
    <row r="187" spans="1:57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</row>
    <row r="188" spans="1:57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</row>
    <row r="189" spans="1:57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</row>
    <row r="190" spans="1:57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</row>
    <row r="191" spans="1:57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</row>
    <row r="192" spans="1:57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</row>
    <row r="193" spans="1:57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</row>
    <row r="194" spans="1:57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</row>
    <row r="195" spans="1:57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</row>
    <row r="196" spans="1:57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</row>
    <row r="197" spans="1:57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</row>
    <row r="198" spans="1:57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</row>
    <row r="199" spans="1:57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</row>
    <row r="200" spans="1:57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</row>
    <row r="201" spans="1:57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</row>
    <row r="202" spans="1:57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</row>
    <row r="203" spans="1:57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</row>
    <row r="204" spans="1:57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</row>
    <row r="205" spans="1:57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</row>
    <row r="206" spans="1:57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</row>
    <row r="207" spans="1:57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</row>
    <row r="208" spans="1:57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</row>
    <row r="209" spans="1:57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</row>
    <row r="210" spans="1:57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</row>
    <row r="211" spans="1:57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</row>
    <row r="212" spans="1:57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</row>
    <row r="213" spans="1:57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</row>
    <row r="214" spans="1:57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</row>
    <row r="215" spans="1:57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</row>
    <row r="216" spans="1:57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</row>
    <row r="217" spans="1:57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</row>
    <row r="218" spans="1:57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</row>
    <row r="219" spans="1:57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</row>
    <row r="220" spans="1:57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</row>
    <row r="221" spans="1:57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</row>
    <row r="222" spans="1:57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</row>
    <row r="223" spans="1:57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</row>
    <row r="224" spans="1:57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</row>
    <row r="225" spans="1:57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</row>
    <row r="226" spans="1:57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</row>
    <row r="227" spans="1:57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</row>
    <row r="228" spans="1:57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</row>
    <row r="229" spans="1:57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</row>
    <row r="230" spans="1:57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</row>
    <row r="231" spans="1:57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</row>
    <row r="232" spans="1:57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</row>
    <row r="233" spans="1:57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</row>
    <row r="234" spans="1:57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</row>
    <row r="235" spans="1:57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</row>
    <row r="236" spans="1:57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</row>
    <row r="237" spans="1:57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</row>
    <row r="238" spans="1:57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</row>
    <row r="239" spans="1:57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</row>
    <row r="240" spans="1:57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</row>
    <row r="241" spans="1:57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</row>
    <row r="242" spans="1:57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</row>
    <row r="243" spans="1:57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</row>
    <row r="244" spans="1:57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</row>
    <row r="245" spans="1:57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</row>
    <row r="246" spans="1:57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</row>
    <row r="247" spans="1:57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</row>
    <row r="248" spans="1:57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</row>
    <row r="249" spans="1:57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</row>
    <row r="250" spans="1:57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</row>
    <row r="251" spans="1:57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</row>
    <row r="252" spans="1:57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</row>
    <row r="253" spans="1:57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</row>
    <row r="254" spans="1:57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</row>
    <row r="255" spans="1:57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</row>
    <row r="256" spans="1:57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</row>
    <row r="257" spans="1:57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</row>
    <row r="258" spans="1:57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</row>
    <row r="259" spans="1:57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</row>
    <row r="260" spans="1:57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</row>
    <row r="261" spans="1:57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</row>
    <row r="262" spans="1:57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</row>
    <row r="263" spans="1:57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</row>
    <row r="264" spans="1:57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</row>
    <row r="265" spans="1:57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</row>
    <row r="266" spans="1:57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</row>
    <row r="267" spans="1:57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</row>
    <row r="268" spans="1:57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</row>
  </sheetData>
  <mergeCells count="12">
    <mergeCell ref="Q1:T1"/>
    <mergeCell ref="Q11:T11"/>
    <mergeCell ref="Q19:T19"/>
    <mergeCell ref="Q27:T27"/>
    <mergeCell ref="B1:E1"/>
    <mergeCell ref="B11:E11"/>
    <mergeCell ref="B19:E19"/>
    <mergeCell ref="B27:E27"/>
    <mergeCell ref="J1:M1"/>
    <mergeCell ref="J11:M11"/>
    <mergeCell ref="J19:M19"/>
    <mergeCell ref="J26:M2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Discriminacion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7</xdr:col>
                    <xdr:colOff>723900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722F0-1B4F-45CC-9D29-ECB1B98BDB17}">
  <sheetPr codeName="Hoja7">
    <tabColor rgb="FF0070C0"/>
  </sheetPr>
  <dimension ref="A1:BD5500"/>
  <sheetViews>
    <sheetView showGridLines="0" showRowColHeaders="0" zoomScale="80" zoomScaleNormal="80" workbookViewId="0"/>
  </sheetViews>
  <sheetFormatPr baseColWidth="10" defaultRowHeight="15" x14ac:dyDescent="0.25"/>
  <cols>
    <col min="1" max="1" width="7.7109375" style="5" customWidth="1"/>
    <col min="2" max="5" width="11.7109375" style="5" customWidth="1"/>
    <col min="6" max="6" width="11.7109375" customWidth="1"/>
    <col min="7" max="7" width="11.7109375" style="5" customWidth="1"/>
    <col min="8" max="8" width="7.7109375" style="5" customWidth="1"/>
    <col min="9" max="9" width="11.7109375" style="86" customWidth="1"/>
    <col min="10" max="10" width="20.7109375" style="87" customWidth="1"/>
    <col min="11" max="11" width="20.7109375" style="86" customWidth="1"/>
    <col min="12" max="16" width="11.7109375" style="5" customWidth="1"/>
    <col min="17" max="27" width="11.42578125" style="5"/>
  </cols>
  <sheetData>
    <row r="1" spans="1:56" x14ac:dyDescent="0.25">
      <c r="A1" s="44"/>
      <c r="B1" s="233" t="s">
        <v>49</v>
      </c>
      <c r="C1" s="233"/>
      <c r="D1" s="233"/>
      <c r="E1" s="233"/>
      <c r="F1" s="233"/>
      <c r="G1" s="233"/>
      <c r="H1" s="70"/>
      <c r="I1" s="86" t="s">
        <v>98</v>
      </c>
      <c r="J1" s="87" t="s">
        <v>99</v>
      </c>
      <c r="K1" s="86" t="s">
        <v>100</v>
      </c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</row>
    <row r="2" spans="1:56" ht="15.75" x14ac:dyDescent="0.25">
      <c r="A2" s="44"/>
      <c r="B2" s="50"/>
      <c r="C2" s="50"/>
      <c r="D2" s="41" t="s">
        <v>106</v>
      </c>
      <c r="E2" s="41" t="s">
        <v>96</v>
      </c>
      <c r="F2" s="41" t="s">
        <v>97</v>
      </c>
      <c r="G2" s="41" t="s">
        <v>107</v>
      </c>
      <c r="H2" s="70"/>
      <c r="I2" s="86">
        <v>1</v>
      </c>
      <c r="J2" s="87">
        <v>1.3966111831083761</v>
      </c>
      <c r="K2" s="87">
        <v>5.4786033758620096</v>
      </c>
      <c r="L2" s="242" t="s">
        <v>109</v>
      </c>
      <c r="M2" s="242"/>
      <c r="N2" s="242" t="s">
        <v>111</v>
      </c>
      <c r="O2" s="242"/>
      <c r="P2" s="88"/>
      <c r="Q2" s="88"/>
      <c r="R2" s="88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</row>
    <row r="3" spans="1:56" ht="15.75" x14ac:dyDescent="0.25">
      <c r="A3" s="44"/>
      <c r="B3" s="7"/>
      <c r="C3" s="8"/>
      <c r="D3" s="81" t="s">
        <v>28</v>
      </c>
      <c r="E3" s="53">
        <v>200</v>
      </c>
      <c r="F3" s="53">
        <v>15</v>
      </c>
      <c r="G3" s="75">
        <v>189.33536712392063</v>
      </c>
      <c r="H3" s="44"/>
      <c r="I3" s="86">
        <v>2</v>
      </c>
      <c r="J3" s="87">
        <v>1.2107943240183792</v>
      </c>
      <c r="K3" s="87">
        <v>9.0812883874673336</v>
      </c>
      <c r="L3" s="89" t="s">
        <v>101</v>
      </c>
      <c r="M3" s="90">
        <f>MIN(J:J)</f>
        <v>-3.5032877959862545</v>
      </c>
      <c r="N3" s="91" t="s">
        <v>101</v>
      </c>
      <c r="O3" s="92">
        <f>MIN(K2:K5100)</f>
        <v>3.5421650211790707</v>
      </c>
      <c r="P3" s="88"/>
      <c r="Q3" s="88"/>
      <c r="R3" s="88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</row>
    <row r="4" spans="1:56" ht="15.75" x14ac:dyDescent="0.25">
      <c r="A4" s="44"/>
      <c r="B4" s="8"/>
      <c r="C4" s="8"/>
      <c r="D4" s="82" t="s">
        <v>29</v>
      </c>
      <c r="E4" s="41">
        <v>2</v>
      </c>
      <c r="F4" s="41">
        <v>0.3</v>
      </c>
      <c r="G4" s="75">
        <v>1.7373520704920851</v>
      </c>
      <c r="H4" s="76"/>
      <c r="I4" s="86">
        <v>3</v>
      </c>
      <c r="J4" s="87">
        <v>2.8856406677233446</v>
      </c>
      <c r="K4" s="87">
        <v>6.4876092162449739</v>
      </c>
      <c r="L4" s="91" t="s">
        <v>102</v>
      </c>
      <c r="M4" s="90">
        <f>AVERAGE(J:J)</f>
        <v>1.7832783136861856</v>
      </c>
      <c r="N4" s="91" t="s">
        <v>102</v>
      </c>
      <c r="O4" s="90">
        <f>AVERAGE(K2:K5100)</f>
        <v>6.9493050543467678</v>
      </c>
      <c r="P4" s="88"/>
      <c r="Q4" s="93" t="s">
        <v>103</v>
      </c>
      <c r="R4" s="94">
        <f>COUNTIF(J:J, "&lt;0") / 5005</f>
        <v>0.17262737262737263</v>
      </c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</row>
    <row r="5" spans="1:56" ht="15.75" x14ac:dyDescent="0.25">
      <c r="A5" s="44"/>
      <c r="B5" s="7"/>
      <c r="C5" s="8"/>
      <c r="D5" s="81" t="s">
        <v>11</v>
      </c>
      <c r="E5" s="53"/>
      <c r="F5" s="53"/>
      <c r="G5" s="78">
        <v>1</v>
      </c>
      <c r="H5" s="76"/>
      <c r="I5" s="86">
        <v>4</v>
      </c>
      <c r="J5" s="87">
        <v>2.1368259443471427</v>
      </c>
      <c r="K5" s="87">
        <v>6.4778686131493322</v>
      </c>
      <c r="L5" s="91" t="s">
        <v>110</v>
      </c>
      <c r="M5" s="92">
        <f>MAX(J2:J5100)</f>
        <v>23.626728188463133</v>
      </c>
      <c r="N5" s="91" t="s">
        <v>110</v>
      </c>
      <c r="O5" s="92">
        <f>MAX(K2:K5100)</f>
        <v>17.430694018790852</v>
      </c>
      <c r="P5" s="88"/>
      <c r="Q5" s="88"/>
      <c r="R5" s="88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</row>
    <row r="6" spans="1:56" ht="15.75" x14ac:dyDescent="0.25">
      <c r="A6" s="44"/>
      <c r="D6" s="83" t="s">
        <v>12</v>
      </c>
      <c r="E6" s="41"/>
      <c r="F6" s="41"/>
      <c r="G6" s="78">
        <v>0</v>
      </c>
      <c r="H6" s="76"/>
      <c r="I6" s="86">
        <v>5</v>
      </c>
      <c r="J6" s="87">
        <v>1.4691132558620694</v>
      </c>
      <c r="K6" s="87">
        <v>6.9423032250082493</v>
      </c>
      <c r="L6" s="91" t="s">
        <v>108</v>
      </c>
      <c r="M6" s="95">
        <f>_xlfn.STDEV.S(J2:J5100)</f>
        <v>2.2058295929964755</v>
      </c>
      <c r="N6" s="91" t="s">
        <v>108</v>
      </c>
      <c r="O6" s="95">
        <f>_xlfn.STDEV.S(K2:K5100)</f>
        <v>1.6822474319917744</v>
      </c>
      <c r="P6" s="88"/>
      <c r="Q6" s="88"/>
      <c r="R6" s="88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</row>
    <row r="7" spans="1:56" x14ac:dyDescent="0.25">
      <c r="A7" s="44"/>
      <c r="D7" s="81" t="s">
        <v>13</v>
      </c>
      <c r="E7" s="53">
        <v>4</v>
      </c>
      <c r="F7" s="53">
        <v>1</v>
      </c>
      <c r="G7" s="75">
        <v>3.3442704962555054</v>
      </c>
      <c r="H7" s="76"/>
      <c r="I7" s="86">
        <v>6</v>
      </c>
      <c r="J7" s="87">
        <v>-1.5071982734641622</v>
      </c>
      <c r="K7" s="87">
        <v>4.8042049514619869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</row>
    <row r="8" spans="1:56" x14ac:dyDescent="0.25">
      <c r="A8" s="44"/>
      <c r="D8" s="83" t="s">
        <v>46</v>
      </c>
      <c r="E8" s="41"/>
      <c r="F8" s="41"/>
      <c r="G8" s="79">
        <v>4</v>
      </c>
      <c r="H8" s="44"/>
      <c r="I8" s="86">
        <v>7</v>
      </c>
      <c r="J8" s="87">
        <v>1.6793700352190544</v>
      </c>
      <c r="K8" s="87">
        <v>5.7682224329038476</v>
      </c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</row>
    <row r="9" spans="1:56" x14ac:dyDescent="0.25">
      <c r="A9" s="44"/>
      <c r="D9" s="84" t="s">
        <v>17</v>
      </c>
      <c r="E9" s="53"/>
      <c r="F9" s="53"/>
      <c r="G9" s="80">
        <v>0.21</v>
      </c>
      <c r="H9" s="77"/>
      <c r="I9" s="86">
        <v>8</v>
      </c>
      <c r="J9" s="87">
        <v>-0.4864416601434467</v>
      </c>
      <c r="K9" s="87">
        <v>5.5878076837763659</v>
      </c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</row>
    <row r="10" spans="1:56" ht="15.75" thickBot="1" x14ac:dyDescent="0.3">
      <c r="A10" s="44"/>
      <c r="B10" s="61"/>
      <c r="C10" s="61"/>
      <c r="D10" s="61"/>
      <c r="E10" s="85"/>
      <c r="F10" s="85"/>
      <c r="G10" s="85"/>
      <c r="H10" s="77"/>
      <c r="I10" s="86">
        <v>9</v>
      </c>
      <c r="J10" s="87">
        <v>0.19655680988452939</v>
      </c>
      <c r="K10" s="87">
        <v>4.6484019348758645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</row>
    <row r="11" spans="1:56" ht="15.75" thickTop="1" x14ac:dyDescent="0.25">
      <c r="A11" s="44"/>
      <c r="F11" s="5"/>
      <c r="H11" s="77"/>
      <c r="I11" s="86">
        <v>10</v>
      </c>
      <c r="J11" s="87">
        <v>-1.7942957424673445E-2</v>
      </c>
      <c r="K11" s="87">
        <v>5.7172073241500723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</row>
    <row r="12" spans="1:56" x14ac:dyDescent="0.25">
      <c r="A12" s="44"/>
      <c r="B12" s="3" t="s">
        <v>16</v>
      </c>
      <c r="C12" s="6">
        <f>G8*E12</f>
        <v>5.6512196663820182</v>
      </c>
      <c r="D12" s="3" t="s">
        <v>47</v>
      </c>
      <c r="E12" s="6">
        <v>1.4128049165955046</v>
      </c>
      <c r="F12" s="5"/>
      <c r="H12" s="44"/>
      <c r="I12" s="86">
        <v>11</v>
      </c>
      <c r="J12" s="87">
        <v>1.6059818979281841</v>
      </c>
      <c r="K12" s="87">
        <v>6.0827114664371722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</row>
    <row r="13" spans="1:56" x14ac:dyDescent="0.25">
      <c r="A13" s="44"/>
      <c r="B13" s="3" t="s">
        <v>23</v>
      </c>
      <c r="C13" s="6">
        <f>E14 * (1 - (1/(G8*G4)))</f>
        <v>5.3402882409654238</v>
      </c>
      <c r="D13" s="3" t="s">
        <v>8</v>
      </c>
      <c r="E13" s="6">
        <f>(C12/G3)^(-1/G4)</f>
        <v>7.547864980999047</v>
      </c>
      <c r="F13" s="5"/>
      <c r="H13" s="44"/>
      <c r="I13" s="86">
        <v>12</v>
      </c>
      <c r="J13" s="87">
        <v>2.0942877068082044</v>
      </c>
      <c r="K13" s="87">
        <v>7.4873476321160011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</row>
    <row r="14" spans="1:56" x14ac:dyDescent="0.25">
      <c r="A14" s="44"/>
      <c r="B14" s="3" t="s">
        <v>4</v>
      </c>
      <c r="C14" s="6">
        <f>G5*E12^2 - G6*E12 + G7</f>
        <v>5.3402882286119358</v>
      </c>
      <c r="D14" s="3" t="s">
        <v>9</v>
      </c>
      <c r="E14" s="6">
        <f>E13/(1+G9)</f>
        <v>6.2379049429744189</v>
      </c>
      <c r="F14" s="5"/>
      <c r="H14" s="44"/>
      <c r="I14" s="86">
        <v>13</v>
      </c>
      <c r="J14" s="87">
        <v>1.2142268145341548</v>
      </c>
      <c r="K14" s="87">
        <v>7.2865266626736176</v>
      </c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</row>
    <row r="15" spans="1:56" x14ac:dyDescent="0.25">
      <c r="A15" s="44"/>
      <c r="F15" s="5"/>
      <c r="H15" s="44"/>
      <c r="I15" s="86">
        <v>14</v>
      </c>
      <c r="J15" s="87">
        <v>1.6424369258628486</v>
      </c>
      <c r="K15" s="87">
        <v>5.0895365471287182</v>
      </c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</row>
    <row r="16" spans="1:56" x14ac:dyDescent="0.25">
      <c r="A16" s="44"/>
      <c r="B16" s="5" t="s">
        <v>15</v>
      </c>
      <c r="C16" s="6">
        <f>C13-C14</f>
        <v>1.2353488010319325E-8</v>
      </c>
      <c r="F16" s="5"/>
      <c r="H16" s="44"/>
      <c r="I16" s="86">
        <v>15</v>
      </c>
      <c r="J16" s="87">
        <v>1.2341583969121119</v>
      </c>
      <c r="K16" s="87">
        <v>7.0655868580433854</v>
      </c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</row>
    <row r="17" spans="1:56" ht="15.75" thickBot="1" x14ac:dyDescent="0.3">
      <c r="A17" s="44"/>
      <c r="B17" s="61"/>
      <c r="C17" s="71"/>
      <c r="D17" s="61"/>
      <c r="E17" s="61"/>
      <c r="F17" s="61"/>
      <c r="G17" s="61"/>
      <c r="H17" s="44"/>
      <c r="I17" s="86">
        <v>16</v>
      </c>
      <c r="J17" s="87">
        <v>1.047657636370138</v>
      </c>
      <c r="K17" s="87">
        <v>8.3727450528567289</v>
      </c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</row>
    <row r="18" spans="1:56" ht="15.75" thickTop="1" x14ac:dyDescent="0.25">
      <c r="A18" s="44"/>
      <c r="D18" s="5" t="s">
        <v>81</v>
      </c>
      <c r="E18" s="22">
        <f>(E14*E12) - (G5/3*E12^3 - G6/2*E12^2 + G7* E12)</f>
        <v>3.1481464178596017</v>
      </c>
      <c r="F18" s="5"/>
      <c r="H18" s="44"/>
      <c r="I18" s="86">
        <v>17</v>
      </c>
      <c r="J18" s="87">
        <v>0.41873774284126064</v>
      </c>
      <c r="K18" s="87">
        <v>4.8406860096678379</v>
      </c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</row>
    <row r="19" spans="1:56" x14ac:dyDescent="0.25">
      <c r="A19" s="44"/>
      <c r="B19" s="44"/>
      <c r="C19" s="44"/>
      <c r="D19" s="44"/>
      <c r="E19" s="44"/>
      <c r="F19" s="44"/>
      <c r="G19" s="44"/>
      <c r="H19" s="44"/>
      <c r="I19" s="86">
        <v>18</v>
      </c>
      <c r="J19" s="87">
        <v>0.55950600747249624</v>
      </c>
      <c r="K19" s="87">
        <v>5.9950212179984774</v>
      </c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</row>
    <row r="20" spans="1:56" x14ac:dyDescent="0.25">
      <c r="F20" s="5"/>
      <c r="I20" s="86">
        <v>19</v>
      </c>
      <c r="J20" s="87">
        <v>2.165729492050068</v>
      </c>
      <c r="K20" s="87">
        <v>8.1657504534011878</v>
      </c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</row>
    <row r="21" spans="1:56" x14ac:dyDescent="0.25">
      <c r="F21" s="5"/>
      <c r="I21" s="86">
        <v>20</v>
      </c>
      <c r="J21" s="87">
        <v>1.9042617995813096</v>
      </c>
      <c r="K21" s="87">
        <v>8.4022134244634206</v>
      </c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</row>
    <row r="22" spans="1:56" x14ac:dyDescent="0.25">
      <c r="F22" s="5"/>
      <c r="I22" s="86">
        <v>21</v>
      </c>
      <c r="J22" s="87">
        <v>1.1635028396742335</v>
      </c>
      <c r="K22" s="87">
        <v>5.4623374575233665</v>
      </c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</row>
    <row r="23" spans="1:56" x14ac:dyDescent="0.25">
      <c r="F23" s="5"/>
      <c r="I23" s="86">
        <v>22</v>
      </c>
      <c r="J23" s="87">
        <v>1.5714635473218079</v>
      </c>
      <c r="K23" s="87">
        <v>6.5747271069492728</v>
      </c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</row>
    <row r="24" spans="1:56" x14ac:dyDescent="0.25">
      <c r="F24" s="5"/>
      <c r="I24" s="86">
        <v>23</v>
      </c>
      <c r="J24" s="87">
        <v>0.99362573409209176</v>
      </c>
      <c r="K24" s="87">
        <v>7.6327451108663107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</row>
    <row r="25" spans="1:56" x14ac:dyDescent="0.25">
      <c r="F25" s="5"/>
      <c r="I25" s="86">
        <v>24</v>
      </c>
      <c r="J25" s="87">
        <v>2.1944104672882752</v>
      </c>
      <c r="K25" s="87">
        <v>6.5136878527626711</v>
      </c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</row>
    <row r="26" spans="1:56" x14ac:dyDescent="0.25">
      <c r="F26" s="5"/>
      <c r="I26" s="86">
        <v>25</v>
      </c>
      <c r="J26" s="87">
        <v>2.9346531544875774</v>
      </c>
      <c r="K26" s="87">
        <v>5.6332051442604785</v>
      </c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</row>
    <row r="27" spans="1:56" x14ac:dyDescent="0.25">
      <c r="F27" s="5"/>
      <c r="I27" s="86">
        <v>26</v>
      </c>
      <c r="J27" s="87">
        <v>0.92802376232457195</v>
      </c>
      <c r="K27" s="87">
        <v>5.7781651824492535</v>
      </c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</row>
    <row r="28" spans="1:56" x14ac:dyDescent="0.25">
      <c r="F28" s="5"/>
      <c r="I28" s="86">
        <v>27</v>
      </c>
      <c r="J28" s="87">
        <v>1.6176913570025304</v>
      </c>
      <c r="K28" s="87">
        <v>6.5805422866363319</v>
      </c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</row>
    <row r="29" spans="1:56" x14ac:dyDescent="0.25">
      <c r="F29" s="5"/>
      <c r="I29" s="86">
        <v>28</v>
      </c>
      <c r="J29" s="87">
        <v>2.9126649663006656</v>
      </c>
      <c r="K29" s="87">
        <v>7.644801007856544</v>
      </c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</row>
    <row r="30" spans="1:56" x14ac:dyDescent="0.25">
      <c r="F30" s="5"/>
      <c r="I30" s="86">
        <v>29</v>
      </c>
      <c r="J30" s="87">
        <v>0.52454996868517068</v>
      </c>
      <c r="K30" s="87">
        <v>6.046877588285609</v>
      </c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</row>
    <row r="31" spans="1:56" x14ac:dyDescent="0.25">
      <c r="F31" s="5"/>
      <c r="I31" s="86">
        <v>30</v>
      </c>
      <c r="J31" s="87">
        <v>1.8074369502907066</v>
      </c>
      <c r="K31" s="87">
        <v>6.3764872682068559</v>
      </c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</row>
    <row r="32" spans="1:56" x14ac:dyDescent="0.25">
      <c r="F32" s="5"/>
      <c r="I32" s="86">
        <v>31</v>
      </c>
      <c r="J32" s="87">
        <v>1.749275131234703</v>
      </c>
      <c r="K32" s="87">
        <v>6.3519325706712806</v>
      </c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</row>
    <row r="33" spans="6:56" x14ac:dyDescent="0.25">
      <c r="F33" s="5"/>
      <c r="I33" s="86">
        <v>32</v>
      </c>
      <c r="J33" s="87">
        <v>2.1804530316296713</v>
      </c>
      <c r="K33" s="87">
        <v>5.457505633593855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</row>
    <row r="34" spans="6:56" x14ac:dyDescent="0.25">
      <c r="F34" s="5"/>
      <c r="I34" s="86">
        <v>33</v>
      </c>
      <c r="J34" s="87">
        <v>0.87879205365885582</v>
      </c>
      <c r="K34" s="87">
        <v>7.2750730688430565</v>
      </c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</row>
    <row r="35" spans="6:56" x14ac:dyDescent="0.25">
      <c r="F35" s="5"/>
      <c r="I35" s="86">
        <v>34</v>
      </c>
      <c r="J35" s="87">
        <v>3.3769235429148106</v>
      </c>
      <c r="K35" s="87">
        <v>8.7334372289508284</v>
      </c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</row>
    <row r="36" spans="6:56" x14ac:dyDescent="0.25">
      <c r="F36" s="5"/>
      <c r="I36" s="86">
        <v>35</v>
      </c>
      <c r="J36" s="87">
        <v>1.0140044348869894</v>
      </c>
      <c r="K36" s="87">
        <v>6.7685790330288347</v>
      </c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</row>
    <row r="37" spans="6:56" x14ac:dyDescent="0.25">
      <c r="F37" s="5"/>
      <c r="I37" s="86">
        <v>36</v>
      </c>
      <c r="J37" s="87">
        <v>0.54353830000478753</v>
      </c>
      <c r="K37" s="87">
        <v>5.0653262231266787</v>
      </c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</row>
    <row r="38" spans="6:56" x14ac:dyDescent="0.25">
      <c r="F38" s="5"/>
      <c r="I38" s="86">
        <v>37</v>
      </c>
      <c r="J38" s="87">
        <v>-0.10657785877191195</v>
      </c>
      <c r="K38" s="87">
        <v>5.2347065195139351</v>
      </c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</row>
    <row r="39" spans="6:56" x14ac:dyDescent="0.25">
      <c r="F39" s="5"/>
      <c r="I39" s="86">
        <v>38</v>
      </c>
      <c r="J39" s="87">
        <v>2.8213962015384073</v>
      </c>
      <c r="K39" s="87">
        <v>5.2948810116576563</v>
      </c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</row>
    <row r="40" spans="6:56" x14ac:dyDescent="0.25">
      <c r="F40" s="5"/>
      <c r="I40" s="86">
        <v>39</v>
      </c>
      <c r="J40" s="87">
        <v>1.7753369009650211</v>
      </c>
      <c r="K40" s="87">
        <v>6.2762755604482523</v>
      </c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</row>
    <row r="41" spans="6:56" x14ac:dyDescent="0.25">
      <c r="F41" s="5"/>
      <c r="I41" s="86">
        <v>40</v>
      </c>
      <c r="J41" s="87">
        <v>2.4290134299219126</v>
      </c>
      <c r="K41" s="87">
        <v>6.4531487228458406</v>
      </c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</row>
    <row r="42" spans="6:56" x14ac:dyDescent="0.25">
      <c r="F42" s="5"/>
      <c r="I42" s="86">
        <v>41</v>
      </c>
      <c r="J42" s="87">
        <v>1.0438139595805982</v>
      </c>
      <c r="K42" s="87">
        <v>7.8140199473938212</v>
      </c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</row>
    <row r="43" spans="6:56" x14ac:dyDescent="0.25">
      <c r="F43" s="5"/>
      <c r="I43" s="86">
        <v>42</v>
      </c>
      <c r="J43" s="87">
        <v>1.8435421275024</v>
      </c>
      <c r="K43" s="87">
        <v>4.7207621623090201</v>
      </c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</row>
    <row r="44" spans="6:56" x14ac:dyDescent="0.25">
      <c r="F44" s="5"/>
      <c r="I44" s="86">
        <v>43</v>
      </c>
      <c r="J44" s="87">
        <v>2.2334968436716895</v>
      </c>
      <c r="K44" s="87">
        <v>6.9099394468454349</v>
      </c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</row>
    <row r="45" spans="6:56" x14ac:dyDescent="0.25">
      <c r="F45" s="5"/>
      <c r="I45" s="86">
        <v>44</v>
      </c>
      <c r="J45" s="87">
        <v>1.2881884522568923</v>
      </c>
      <c r="K45" s="87">
        <v>7.0341896220876068</v>
      </c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</row>
    <row r="46" spans="6:56" x14ac:dyDescent="0.25">
      <c r="F46" s="5"/>
      <c r="I46" s="86">
        <v>45</v>
      </c>
      <c r="J46" s="87">
        <v>2.8052000741789147</v>
      </c>
      <c r="K46" s="87">
        <v>7.8907729052594604</v>
      </c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</row>
    <row r="47" spans="6:56" x14ac:dyDescent="0.25">
      <c r="F47" s="5"/>
      <c r="I47" s="86">
        <v>46</v>
      </c>
      <c r="J47" s="87">
        <v>-0.12773468178761949</v>
      </c>
      <c r="K47" s="87">
        <v>6.447317630566376</v>
      </c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</row>
    <row r="48" spans="6:56" x14ac:dyDescent="0.25">
      <c r="F48" s="5"/>
      <c r="I48" s="86">
        <v>47</v>
      </c>
      <c r="J48" s="87">
        <v>0.84548083551875131</v>
      </c>
      <c r="K48" s="87">
        <v>4.1722442318589144</v>
      </c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</row>
    <row r="49" spans="6:56" x14ac:dyDescent="0.25">
      <c r="F49" s="5"/>
      <c r="I49" s="86">
        <v>48</v>
      </c>
      <c r="J49" s="87">
        <v>2.4478347491130608</v>
      </c>
      <c r="K49" s="87">
        <v>7.0914485199114123</v>
      </c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</row>
    <row r="50" spans="6:56" x14ac:dyDescent="0.25">
      <c r="F50" s="5"/>
      <c r="I50" s="86">
        <v>49</v>
      </c>
      <c r="J50" s="87">
        <v>2.7296336220085218</v>
      </c>
      <c r="K50" s="87">
        <v>6.0546361950140835</v>
      </c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</row>
    <row r="51" spans="6:56" x14ac:dyDescent="0.25">
      <c r="F51" s="5"/>
      <c r="I51" s="86">
        <v>50</v>
      </c>
      <c r="J51" s="87">
        <v>1.7004863058661135</v>
      </c>
      <c r="K51" s="87">
        <v>7.6230435377805863</v>
      </c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</row>
    <row r="52" spans="6:56" x14ac:dyDescent="0.25">
      <c r="F52" s="5"/>
      <c r="I52" s="86">
        <v>51</v>
      </c>
      <c r="J52" s="87">
        <v>3.1626064355442356</v>
      </c>
      <c r="K52" s="87">
        <v>9.3421153251863309</v>
      </c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</row>
    <row r="53" spans="6:56" x14ac:dyDescent="0.25">
      <c r="F53" s="5"/>
      <c r="I53" s="86">
        <v>52</v>
      </c>
      <c r="J53" s="87">
        <v>6.3049632373044684</v>
      </c>
      <c r="K53" s="87">
        <v>10.936364965505691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</row>
    <row r="54" spans="6:56" x14ac:dyDescent="0.25">
      <c r="F54" s="5"/>
      <c r="I54" s="86">
        <v>53</v>
      </c>
      <c r="J54" s="87">
        <v>0.89105058169778362</v>
      </c>
      <c r="K54" s="87">
        <v>4.9510119132827226</v>
      </c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</row>
    <row r="55" spans="6:56" x14ac:dyDescent="0.25">
      <c r="F55" s="5"/>
      <c r="I55" s="86">
        <v>54</v>
      </c>
      <c r="J55" s="87">
        <v>-1.1320606252523344</v>
      </c>
      <c r="K55" s="87">
        <v>5.6197945403667875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</row>
    <row r="56" spans="6:56" x14ac:dyDescent="0.25">
      <c r="F56" s="5"/>
      <c r="I56" s="86">
        <v>55</v>
      </c>
      <c r="J56" s="87">
        <v>-0.5692636566227991</v>
      </c>
      <c r="K56" s="87">
        <v>5.7150860915208783</v>
      </c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</row>
    <row r="57" spans="6:56" x14ac:dyDescent="0.25">
      <c r="F57" s="5"/>
      <c r="I57" s="86">
        <v>56</v>
      </c>
      <c r="J57" s="87">
        <v>6.1789181343199253</v>
      </c>
      <c r="K57" s="87">
        <v>7.8432297195827188</v>
      </c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</row>
    <row r="58" spans="6:56" x14ac:dyDescent="0.25">
      <c r="F58" s="5"/>
      <c r="I58" s="86">
        <v>57</v>
      </c>
      <c r="J58" s="87">
        <v>1.976001902009406</v>
      </c>
      <c r="K58" s="87">
        <v>7.5466980722590655</v>
      </c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</row>
    <row r="59" spans="6:56" x14ac:dyDescent="0.25">
      <c r="F59" s="5"/>
      <c r="I59" s="86">
        <v>58</v>
      </c>
      <c r="J59" s="87">
        <v>1.7804941121590252</v>
      </c>
      <c r="K59" s="87">
        <v>8.4251694011929619</v>
      </c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</row>
    <row r="60" spans="6:56" x14ac:dyDescent="0.25">
      <c r="F60" s="5"/>
      <c r="I60" s="86">
        <v>59</v>
      </c>
      <c r="J60" s="87">
        <v>0.26444307986150317</v>
      </c>
      <c r="K60" s="87">
        <v>6.57670343758297</v>
      </c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</row>
    <row r="61" spans="6:56" x14ac:dyDescent="0.25">
      <c r="F61" s="5"/>
      <c r="I61" s="86">
        <v>60</v>
      </c>
      <c r="J61" s="87">
        <v>4.24050291789891</v>
      </c>
      <c r="K61" s="87">
        <v>8.1029795981746773</v>
      </c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</row>
    <row r="62" spans="6:56" x14ac:dyDescent="0.25">
      <c r="F62" s="5"/>
      <c r="I62" s="86">
        <v>61</v>
      </c>
      <c r="J62" s="87">
        <v>-0.23633036324748602</v>
      </c>
      <c r="K62" s="87">
        <v>5.6460488995817295</v>
      </c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</row>
    <row r="63" spans="6:56" x14ac:dyDescent="0.25">
      <c r="F63" s="5"/>
      <c r="I63" s="86">
        <v>62</v>
      </c>
      <c r="J63" s="87">
        <v>-0.92829442431468756</v>
      </c>
      <c r="K63" s="87">
        <v>7.025338894589348</v>
      </c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</row>
    <row r="64" spans="6:56" x14ac:dyDescent="0.25">
      <c r="F64" s="5"/>
      <c r="I64" s="86">
        <v>63</v>
      </c>
      <c r="J64" s="87">
        <v>0.84825028052864582</v>
      </c>
      <c r="K64" s="87">
        <v>6.6125078204768313</v>
      </c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</row>
    <row r="65" spans="6:56" x14ac:dyDescent="0.25">
      <c r="F65" s="5"/>
      <c r="I65" s="86">
        <v>64</v>
      </c>
      <c r="J65" s="87">
        <v>-0.61310885229882661</v>
      </c>
      <c r="K65" s="87">
        <v>6.2306616623018201</v>
      </c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</row>
    <row r="66" spans="6:56" x14ac:dyDescent="0.25">
      <c r="F66" s="5"/>
      <c r="I66" s="86">
        <v>65</v>
      </c>
      <c r="J66" s="87">
        <v>1.5029831725951457</v>
      </c>
      <c r="K66" s="87">
        <v>8.7737860525381777</v>
      </c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</row>
    <row r="67" spans="6:56" x14ac:dyDescent="0.25">
      <c r="F67" s="5"/>
      <c r="I67" s="86">
        <v>66</v>
      </c>
      <c r="J67" s="87">
        <v>2.3219342481315977</v>
      </c>
      <c r="K67" s="87">
        <v>8.1820253502704592</v>
      </c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</row>
    <row r="68" spans="6:56" x14ac:dyDescent="0.25">
      <c r="F68" s="5"/>
      <c r="I68" s="86">
        <v>67</v>
      </c>
      <c r="J68" s="87">
        <v>6.2687229241646696</v>
      </c>
      <c r="K68" s="87">
        <v>7.7410040635858133</v>
      </c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</row>
    <row r="69" spans="6:56" x14ac:dyDescent="0.25">
      <c r="F69" s="5"/>
      <c r="I69" s="86">
        <v>68</v>
      </c>
      <c r="J69" s="87">
        <v>0.75221868945427683</v>
      </c>
      <c r="K69" s="87">
        <v>6.5649892185638743</v>
      </c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</row>
    <row r="70" spans="6:56" x14ac:dyDescent="0.25">
      <c r="F70" s="5"/>
      <c r="I70" s="86">
        <v>69</v>
      </c>
      <c r="J70" s="87">
        <v>-0.14808017862167677</v>
      </c>
      <c r="K70" s="87">
        <v>6.000825805307084</v>
      </c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</row>
    <row r="71" spans="6:56" x14ac:dyDescent="0.25">
      <c r="F71" s="5"/>
      <c r="I71" s="86">
        <v>70</v>
      </c>
      <c r="J71" s="87">
        <v>1.5310940812194769</v>
      </c>
      <c r="K71" s="87">
        <v>6.8367746535868008</v>
      </c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</row>
    <row r="72" spans="6:56" x14ac:dyDescent="0.25">
      <c r="F72" s="5"/>
      <c r="I72" s="86">
        <v>71</v>
      </c>
      <c r="J72" s="87">
        <v>4.4839610651155599</v>
      </c>
      <c r="K72" s="87">
        <v>8.7006687031711767</v>
      </c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</row>
    <row r="73" spans="6:56" x14ac:dyDescent="0.25">
      <c r="F73" s="5"/>
      <c r="I73" s="86">
        <v>72</v>
      </c>
      <c r="J73" s="87">
        <v>1.293011830122146</v>
      </c>
      <c r="K73" s="87">
        <v>6.2624925864238623</v>
      </c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</row>
    <row r="74" spans="6:56" x14ac:dyDescent="0.25">
      <c r="F74" s="5"/>
      <c r="I74" s="86">
        <v>73</v>
      </c>
      <c r="J74" s="87">
        <v>-0.79931401419763937</v>
      </c>
      <c r="K74" s="87">
        <v>5.1804607094125723</v>
      </c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</row>
    <row r="75" spans="6:56" x14ac:dyDescent="0.25">
      <c r="F75" s="5"/>
      <c r="I75" s="86">
        <v>74</v>
      </c>
      <c r="J75" s="87">
        <v>-0.90281197699440607</v>
      </c>
      <c r="K75" s="87">
        <v>4.1436281172997305</v>
      </c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</row>
    <row r="76" spans="6:56" x14ac:dyDescent="0.25">
      <c r="F76" s="5"/>
      <c r="I76" s="86">
        <v>75</v>
      </c>
      <c r="J76" s="87">
        <v>0.43911382484793737</v>
      </c>
      <c r="K76" s="87">
        <v>8.0994177359499897</v>
      </c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</row>
    <row r="77" spans="6:56" x14ac:dyDescent="0.25">
      <c r="F77" s="5"/>
      <c r="I77" s="86">
        <v>76</v>
      </c>
      <c r="J77" s="87">
        <v>4.5799420041103112</v>
      </c>
      <c r="K77" s="87">
        <v>10.702846486047271</v>
      </c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</row>
    <row r="78" spans="6:56" x14ac:dyDescent="0.25">
      <c r="F78" s="5"/>
      <c r="I78" s="86">
        <v>77</v>
      </c>
      <c r="J78" s="87">
        <v>2.1283500653948053</v>
      </c>
      <c r="K78" s="87">
        <v>8.4435095157786773</v>
      </c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</row>
    <row r="79" spans="6:56" x14ac:dyDescent="0.25">
      <c r="F79" s="5"/>
      <c r="I79" s="86">
        <v>78</v>
      </c>
      <c r="J79" s="87">
        <v>13.177538293516395</v>
      </c>
      <c r="K79" s="87">
        <v>12.8769397568967</v>
      </c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</row>
    <row r="80" spans="6:56" x14ac:dyDescent="0.25">
      <c r="F80" s="5"/>
      <c r="I80" s="86">
        <v>79</v>
      </c>
      <c r="J80" s="87">
        <v>0.14289859774226876</v>
      </c>
      <c r="K80" s="87">
        <v>7.0479916899241326</v>
      </c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</row>
    <row r="81" spans="6:56" x14ac:dyDescent="0.25">
      <c r="F81" s="5"/>
      <c r="I81" s="86">
        <v>80</v>
      </c>
      <c r="J81" s="87">
        <v>-0.27784668531410439</v>
      </c>
      <c r="K81" s="87">
        <v>5.5041347645317122</v>
      </c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</row>
    <row r="82" spans="6:56" x14ac:dyDescent="0.25">
      <c r="F82" s="5"/>
      <c r="I82" s="86">
        <v>81</v>
      </c>
      <c r="J82" s="87">
        <v>2.7105705464892411</v>
      </c>
      <c r="K82" s="87">
        <v>5.6700934080123986</v>
      </c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</row>
    <row r="83" spans="6:56" x14ac:dyDescent="0.25">
      <c r="F83" s="5"/>
      <c r="I83" s="86">
        <v>82</v>
      </c>
      <c r="J83" s="87">
        <v>0.95435183876803453</v>
      </c>
      <c r="K83" s="87">
        <v>6.3592056450598795</v>
      </c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</row>
    <row r="84" spans="6:56" x14ac:dyDescent="0.25">
      <c r="F84" s="5"/>
      <c r="I84" s="86">
        <v>83</v>
      </c>
      <c r="J84" s="87">
        <v>-1.3849732611417664</v>
      </c>
      <c r="K84" s="87">
        <v>5.0003790769570466</v>
      </c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</row>
    <row r="85" spans="6:56" x14ac:dyDescent="0.25">
      <c r="F85" s="5"/>
      <c r="I85" s="86">
        <v>84</v>
      </c>
      <c r="J85" s="87">
        <v>3.6150964694003083</v>
      </c>
      <c r="K85" s="87">
        <v>8.1057098741539981</v>
      </c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</row>
    <row r="86" spans="6:56" x14ac:dyDescent="0.25">
      <c r="F86" s="5"/>
      <c r="I86" s="86">
        <v>85</v>
      </c>
      <c r="J86" s="87">
        <v>2.6365461026975252</v>
      </c>
      <c r="K86" s="87">
        <v>8.2416014476749595</v>
      </c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</row>
    <row r="87" spans="6:56" x14ac:dyDescent="0.25">
      <c r="F87" s="5"/>
      <c r="I87" s="86">
        <v>86</v>
      </c>
      <c r="J87" s="87">
        <v>2.4080255176215877</v>
      </c>
      <c r="K87" s="87">
        <v>6.3199942364672097</v>
      </c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</row>
    <row r="88" spans="6:56" x14ac:dyDescent="0.25">
      <c r="F88" s="5"/>
      <c r="I88" s="86">
        <v>87</v>
      </c>
      <c r="J88" s="87">
        <v>1.4987866745259528</v>
      </c>
      <c r="K88" s="87">
        <v>4.8342775381412206</v>
      </c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</row>
    <row r="89" spans="6:56" x14ac:dyDescent="0.25">
      <c r="F89" s="5"/>
      <c r="I89" s="86">
        <v>88</v>
      </c>
      <c r="J89" s="87">
        <v>1.5062130518580314</v>
      </c>
      <c r="K89" s="87">
        <v>6.6915640604573046</v>
      </c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</row>
    <row r="90" spans="6:56" x14ac:dyDescent="0.25">
      <c r="F90" s="5"/>
      <c r="I90" s="86">
        <v>89</v>
      </c>
      <c r="J90" s="87">
        <v>2.5154620776439938</v>
      </c>
      <c r="K90" s="87">
        <v>7.4440892731174051</v>
      </c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</row>
    <row r="91" spans="6:56" x14ac:dyDescent="0.25">
      <c r="F91" s="5"/>
      <c r="I91" s="86">
        <v>90</v>
      </c>
      <c r="J91" s="87">
        <v>4.4230738615690939</v>
      </c>
      <c r="K91" s="87">
        <v>8.6916106360608563</v>
      </c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</row>
    <row r="92" spans="6:56" x14ac:dyDescent="0.25">
      <c r="F92" s="5"/>
      <c r="I92" s="86">
        <v>91</v>
      </c>
      <c r="J92" s="87">
        <v>1.6012697315880589</v>
      </c>
      <c r="K92" s="87">
        <v>8.9215214382097923</v>
      </c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</row>
    <row r="93" spans="6:56" x14ac:dyDescent="0.25">
      <c r="F93" s="5"/>
      <c r="I93" s="86">
        <v>92</v>
      </c>
      <c r="J93" s="87">
        <v>1.7818977415229131</v>
      </c>
      <c r="K93" s="87">
        <v>6.5749292402107518</v>
      </c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</row>
    <row r="94" spans="6:56" x14ac:dyDescent="0.25">
      <c r="F94" s="5"/>
      <c r="I94" s="86">
        <v>93</v>
      </c>
      <c r="J94" s="87">
        <v>-1.0039877788860769</v>
      </c>
      <c r="K94" s="87">
        <v>4.5443079046991661</v>
      </c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</row>
    <row r="95" spans="6:56" x14ac:dyDescent="0.25">
      <c r="F95" s="5"/>
      <c r="I95" s="86">
        <v>94</v>
      </c>
      <c r="J95" s="87">
        <v>0.88428198153019988</v>
      </c>
      <c r="K95" s="87">
        <v>5.8539018602523143</v>
      </c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</row>
    <row r="96" spans="6:56" x14ac:dyDescent="0.25">
      <c r="F96" s="5"/>
      <c r="I96" s="86">
        <v>95</v>
      </c>
      <c r="J96" s="87">
        <v>2.1848390863053719</v>
      </c>
      <c r="K96" s="87">
        <v>7.0474160657659102</v>
      </c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</row>
    <row r="97" spans="6:56" x14ac:dyDescent="0.25">
      <c r="F97" s="5"/>
      <c r="I97" s="86">
        <v>96</v>
      </c>
      <c r="J97" s="87">
        <v>1.533634104541215</v>
      </c>
      <c r="K97" s="87">
        <v>6.4612164555575307</v>
      </c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</row>
    <row r="98" spans="6:56" x14ac:dyDescent="0.25">
      <c r="F98" s="5"/>
      <c r="I98" s="86">
        <v>97</v>
      </c>
      <c r="J98" s="87">
        <v>-0.99241421287015008</v>
      </c>
      <c r="K98" s="87">
        <v>5.0968450020749101</v>
      </c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</row>
    <row r="99" spans="6:56" x14ac:dyDescent="0.25">
      <c r="F99" s="5"/>
      <c r="I99" s="86">
        <v>98</v>
      </c>
      <c r="J99" s="87">
        <v>1.7526832312864409</v>
      </c>
      <c r="K99" s="87">
        <v>6.6298467779731425</v>
      </c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</row>
    <row r="100" spans="6:56" x14ac:dyDescent="0.25">
      <c r="F100" s="5"/>
      <c r="I100" s="86">
        <v>99</v>
      </c>
      <c r="J100" s="87">
        <v>2.6456348380150088</v>
      </c>
      <c r="K100" s="87">
        <v>8.4120912309799074</v>
      </c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</row>
    <row r="101" spans="6:56" x14ac:dyDescent="0.25">
      <c r="F101" s="5"/>
      <c r="I101" s="86">
        <v>100</v>
      </c>
      <c r="J101" s="87">
        <v>6.7876619599107357</v>
      </c>
      <c r="K101" s="87">
        <v>8.5702018020090893</v>
      </c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</row>
    <row r="102" spans="6:56" x14ac:dyDescent="0.25">
      <c r="F102" s="5"/>
      <c r="I102" s="86">
        <v>101</v>
      </c>
      <c r="J102" s="87">
        <v>1.8958814068392202</v>
      </c>
      <c r="K102" s="87">
        <v>7.6664168473377741</v>
      </c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</row>
    <row r="103" spans="6:56" x14ac:dyDescent="0.25">
      <c r="F103" s="5"/>
      <c r="I103" s="86">
        <v>102</v>
      </c>
      <c r="J103" s="87">
        <v>1.0160885370645474</v>
      </c>
      <c r="K103" s="87">
        <v>6.4708704995113733</v>
      </c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</row>
    <row r="104" spans="6:56" x14ac:dyDescent="0.25">
      <c r="F104" s="5"/>
      <c r="I104" s="86">
        <v>103</v>
      </c>
      <c r="J104" s="87">
        <v>1.8995604255674197</v>
      </c>
      <c r="K104" s="87">
        <v>6.3114289625650422</v>
      </c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</row>
    <row r="105" spans="6:56" x14ac:dyDescent="0.25">
      <c r="F105" s="5"/>
      <c r="I105" s="86">
        <v>104</v>
      </c>
      <c r="J105" s="87">
        <v>2.6909511159317159</v>
      </c>
      <c r="K105" s="87">
        <v>9.8220276581079418</v>
      </c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</row>
    <row r="106" spans="6:56" x14ac:dyDescent="0.25">
      <c r="F106" s="5"/>
      <c r="I106" s="86">
        <v>105</v>
      </c>
      <c r="J106" s="87">
        <v>1.0046467535005683</v>
      </c>
      <c r="K106" s="87">
        <v>5.4284546376909173</v>
      </c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</row>
    <row r="107" spans="6:56" x14ac:dyDescent="0.25">
      <c r="F107" s="5"/>
      <c r="I107" s="86">
        <v>106</v>
      </c>
      <c r="J107" s="87">
        <v>2.8662532740550368</v>
      </c>
      <c r="K107" s="87">
        <v>7.5806240817182085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</row>
    <row r="108" spans="6:56" x14ac:dyDescent="0.25">
      <c r="F108" s="5"/>
      <c r="I108" s="86">
        <v>107</v>
      </c>
      <c r="J108" s="87">
        <v>0.57385108467963164</v>
      </c>
      <c r="K108" s="87">
        <v>6.3752767440870119</v>
      </c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</row>
    <row r="109" spans="6:56" x14ac:dyDescent="0.25">
      <c r="F109" s="5"/>
      <c r="I109" s="86">
        <v>108</v>
      </c>
      <c r="J109" s="87">
        <v>1.9627466486609286</v>
      </c>
      <c r="K109" s="87">
        <v>8.1396294221834342</v>
      </c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</row>
    <row r="110" spans="6:56" x14ac:dyDescent="0.25">
      <c r="F110" s="5"/>
      <c r="I110" s="86">
        <v>109</v>
      </c>
      <c r="J110" s="87">
        <v>-0.39337815774446216</v>
      </c>
      <c r="K110" s="87">
        <v>5.728394008580687</v>
      </c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</row>
    <row r="111" spans="6:56" x14ac:dyDescent="0.25">
      <c r="F111" s="5"/>
      <c r="I111" s="86">
        <v>110</v>
      </c>
      <c r="J111" s="87">
        <v>0.87655713157611359</v>
      </c>
      <c r="K111" s="87">
        <v>6.0721380456521574</v>
      </c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</row>
    <row r="112" spans="6:56" x14ac:dyDescent="0.25">
      <c r="F112" s="5"/>
      <c r="I112" s="86">
        <v>111</v>
      </c>
      <c r="J112" s="87">
        <v>4.593923722174174</v>
      </c>
      <c r="K112" s="87">
        <v>7.3032185721294134</v>
      </c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</row>
    <row r="113" spans="6:56" x14ac:dyDescent="0.25">
      <c r="F113" s="5"/>
      <c r="I113" s="86">
        <v>112</v>
      </c>
      <c r="J113" s="87">
        <v>3.9517353378189846</v>
      </c>
      <c r="K113" s="87">
        <v>7.8149312287013251</v>
      </c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</row>
    <row r="114" spans="6:56" x14ac:dyDescent="0.25">
      <c r="F114" s="5"/>
      <c r="I114" s="86">
        <v>113</v>
      </c>
      <c r="J114" s="87">
        <v>1.4867662830869026</v>
      </c>
      <c r="K114" s="87">
        <v>6.9991448205480635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</row>
    <row r="115" spans="6:56" x14ac:dyDescent="0.25">
      <c r="F115" s="5"/>
      <c r="I115" s="86">
        <v>114</v>
      </c>
      <c r="J115" s="87">
        <v>0.83070960690679563</v>
      </c>
      <c r="K115" s="87">
        <v>6.9574013559630501</v>
      </c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</row>
    <row r="116" spans="6:56" x14ac:dyDescent="0.25">
      <c r="F116" s="5"/>
      <c r="I116" s="86">
        <v>115</v>
      </c>
      <c r="J116" s="87">
        <v>-1.5368620948170486</v>
      </c>
      <c r="K116" s="87">
        <v>4.6142111240497581</v>
      </c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</row>
    <row r="117" spans="6:56" x14ac:dyDescent="0.25">
      <c r="F117" s="5"/>
      <c r="I117" s="86">
        <v>116</v>
      </c>
      <c r="J117" s="87">
        <v>2.2274307243249076</v>
      </c>
      <c r="K117" s="87">
        <v>5.8330358576052408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</row>
    <row r="118" spans="6:56" x14ac:dyDescent="0.25">
      <c r="F118" s="5"/>
      <c r="I118" s="86">
        <v>117</v>
      </c>
      <c r="J118" s="87">
        <v>-2.2257497088779665E-2</v>
      </c>
      <c r="K118" s="87">
        <v>5.269259854647089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</row>
    <row r="119" spans="6:56" x14ac:dyDescent="0.25">
      <c r="F119" s="5"/>
      <c r="I119" s="86">
        <v>118</v>
      </c>
      <c r="J119" s="87">
        <v>3.6211226503425209</v>
      </c>
      <c r="K119" s="87">
        <v>6.6248616203365955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</row>
    <row r="120" spans="6:56" x14ac:dyDescent="0.25">
      <c r="F120" s="5"/>
      <c r="I120" s="86">
        <v>119</v>
      </c>
      <c r="J120" s="87">
        <v>1.7835220469295852</v>
      </c>
      <c r="K120" s="87">
        <v>6.3601639051883128</v>
      </c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</row>
    <row r="121" spans="6:56" x14ac:dyDescent="0.25">
      <c r="F121" s="5"/>
      <c r="I121" s="86">
        <v>120</v>
      </c>
      <c r="J121" s="87">
        <v>-9.4356234621140178E-2</v>
      </c>
      <c r="K121" s="87">
        <v>4.3224448322234572</v>
      </c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</row>
    <row r="122" spans="6:56" x14ac:dyDescent="0.25">
      <c r="F122" s="5"/>
      <c r="I122" s="86">
        <v>121</v>
      </c>
      <c r="J122" s="87">
        <v>-0.11160152203051954</v>
      </c>
      <c r="K122" s="87">
        <v>6.2459202813985257</v>
      </c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</row>
    <row r="123" spans="6:56" x14ac:dyDescent="0.25">
      <c r="F123" s="5"/>
      <c r="I123" s="86">
        <v>122</v>
      </c>
      <c r="J123" s="87">
        <v>2.2847937977261141</v>
      </c>
      <c r="K123" s="87">
        <v>8.481025125040393</v>
      </c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</row>
    <row r="124" spans="6:56" x14ac:dyDescent="0.25">
      <c r="F124" s="5"/>
      <c r="I124" s="86">
        <v>123</v>
      </c>
      <c r="J124" s="87">
        <v>1.707158992430589</v>
      </c>
      <c r="K124" s="87">
        <v>6.5137990593930244</v>
      </c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</row>
    <row r="125" spans="6:56" x14ac:dyDescent="0.25">
      <c r="F125" s="5"/>
      <c r="I125" s="86">
        <v>124</v>
      </c>
      <c r="J125" s="87">
        <v>1.7355943787182779</v>
      </c>
      <c r="K125" s="87">
        <v>7.8435705356607697</v>
      </c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</row>
    <row r="126" spans="6:56" x14ac:dyDescent="0.25">
      <c r="F126" s="5"/>
      <c r="I126" s="86">
        <v>125</v>
      </c>
      <c r="J126" s="87">
        <v>3.236560213132571</v>
      </c>
      <c r="K126" s="87">
        <v>8.5869463503733918</v>
      </c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</row>
    <row r="127" spans="6:56" x14ac:dyDescent="0.25">
      <c r="F127" s="5"/>
      <c r="I127" s="86">
        <v>126</v>
      </c>
      <c r="J127" s="87">
        <v>2.3919887320819084</v>
      </c>
      <c r="K127" s="87">
        <v>8.5345894077578404</v>
      </c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</row>
    <row r="128" spans="6:56" x14ac:dyDescent="0.25">
      <c r="F128" s="5"/>
      <c r="I128" s="86">
        <v>127</v>
      </c>
      <c r="J128" s="87">
        <v>2.1747200320436582</v>
      </c>
      <c r="K128" s="87">
        <v>8.1067905832175597</v>
      </c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</row>
    <row r="129" spans="6:56" x14ac:dyDescent="0.25">
      <c r="F129" s="5"/>
      <c r="I129" s="86">
        <v>128</v>
      </c>
      <c r="J129" s="87">
        <v>3.101673706098274</v>
      </c>
      <c r="K129" s="87">
        <v>6.7988623202446696</v>
      </c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</row>
    <row r="130" spans="6:56" x14ac:dyDescent="0.25">
      <c r="F130" s="5"/>
      <c r="I130" s="86">
        <v>129</v>
      </c>
      <c r="J130" s="87">
        <v>-0.23689683207460099</v>
      </c>
      <c r="K130" s="87">
        <v>5.3479662394566096</v>
      </c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</row>
    <row r="131" spans="6:56" x14ac:dyDescent="0.25">
      <c r="F131" s="5"/>
      <c r="I131" s="86">
        <v>130</v>
      </c>
      <c r="J131" s="87">
        <v>1.9510956136238136</v>
      </c>
      <c r="K131" s="87">
        <v>7.804238605359255</v>
      </c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</row>
    <row r="132" spans="6:56" x14ac:dyDescent="0.25">
      <c r="F132" s="5"/>
      <c r="I132" s="86">
        <v>131</v>
      </c>
      <c r="J132" s="87">
        <v>-0.50877608252216788</v>
      </c>
      <c r="K132" s="87">
        <v>4.9244596219020398</v>
      </c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</row>
    <row r="133" spans="6:56" x14ac:dyDescent="0.25">
      <c r="F133" s="5"/>
      <c r="I133" s="86">
        <v>132</v>
      </c>
      <c r="J133" s="87">
        <v>-1.9279795680676166</v>
      </c>
      <c r="K133" s="87">
        <v>5.0459193492268541</v>
      </c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</row>
    <row r="134" spans="6:56" x14ac:dyDescent="0.25">
      <c r="F134" s="5"/>
      <c r="I134" s="86">
        <v>133</v>
      </c>
      <c r="J134" s="87">
        <v>0.3348484817598667</v>
      </c>
      <c r="K134" s="87">
        <v>6.9224950813436683</v>
      </c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</row>
    <row r="135" spans="6:56" x14ac:dyDescent="0.25">
      <c r="F135" s="5"/>
      <c r="I135" s="86">
        <v>134</v>
      </c>
      <c r="J135" s="87">
        <v>0.65923154019774222</v>
      </c>
      <c r="K135" s="87">
        <v>5.0632337971279133</v>
      </c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</row>
    <row r="136" spans="6:56" x14ac:dyDescent="0.25">
      <c r="F136" s="5"/>
      <c r="I136" s="86">
        <v>135</v>
      </c>
      <c r="J136" s="87">
        <v>0.72570938477244784</v>
      </c>
      <c r="K136" s="87">
        <v>5.7360139646866397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</row>
    <row r="137" spans="6:56" x14ac:dyDescent="0.25">
      <c r="F137" s="5"/>
      <c r="I137" s="86">
        <v>136</v>
      </c>
      <c r="J137" s="87">
        <v>3.4146748395324407</v>
      </c>
      <c r="K137" s="87">
        <v>7.2600231311898913</v>
      </c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</row>
    <row r="138" spans="6:56" x14ac:dyDescent="0.25">
      <c r="F138" s="5"/>
      <c r="I138" s="86">
        <v>137</v>
      </c>
      <c r="J138" s="87">
        <v>2.7289601462255302</v>
      </c>
      <c r="K138" s="87">
        <v>8.0160275526238092</v>
      </c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</row>
    <row r="139" spans="6:56" x14ac:dyDescent="0.25">
      <c r="F139" s="5"/>
      <c r="I139" s="86">
        <v>138</v>
      </c>
      <c r="J139" s="87">
        <v>2.0820477988885591</v>
      </c>
      <c r="K139" s="87">
        <v>6.2874215685033548</v>
      </c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</row>
    <row r="140" spans="6:56" x14ac:dyDescent="0.25">
      <c r="F140" s="5"/>
      <c r="I140" s="86">
        <v>139</v>
      </c>
      <c r="J140" s="87">
        <v>1.3670453787290224</v>
      </c>
      <c r="K140" s="87">
        <v>7.6351540600798264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</row>
    <row r="141" spans="6:56" x14ac:dyDescent="0.25">
      <c r="F141" s="5"/>
      <c r="I141" s="86">
        <v>140</v>
      </c>
      <c r="J141" s="87">
        <v>0.61521603811390957</v>
      </c>
      <c r="K141" s="87">
        <v>5.9061434911454205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</row>
    <row r="142" spans="6:56" x14ac:dyDescent="0.25">
      <c r="F142" s="5"/>
      <c r="I142" s="86">
        <v>141</v>
      </c>
      <c r="J142" s="87">
        <v>-2.4736446660371127</v>
      </c>
      <c r="K142" s="87">
        <v>4.6331621582722082</v>
      </c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</row>
    <row r="143" spans="6:56" x14ac:dyDescent="0.25">
      <c r="F143" s="5"/>
      <c r="I143" s="86">
        <v>142</v>
      </c>
      <c r="J143" s="87">
        <v>2.7176204687399688</v>
      </c>
      <c r="K143" s="87">
        <v>7.6208656543522784</v>
      </c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</row>
    <row r="144" spans="6:56" x14ac:dyDescent="0.25">
      <c r="F144" s="5"/>
      <c r="I144" s="86">
        <v>143</v>
      </c>
      <c r="J144" s="87">
        <v>1.6927921910104438</v>
      </c>
      <c r="K144" s="87">
        <v>5.2343555214286486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</row>
    <row r="145" spans="6:56" x14ac:dyDescent="0.25">
      <c r="F145" s="5"/>
      <c r="I145" s="86">
        <v>144</v>
      </c>
      <c r="J145" s="87">
        <v>-2.0341651628232329</v>
      </c>
      <c r="K145" s="87">
        <v>6.3213951483833748</v>
      </c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</row>
    <row r="146" spans="6:56" x14ac:dyDescent="0.25">
      <c r="F146" s="5"/>
      <c r="I146" s="86">
        <v>145</v>
      </c>
      <c r="J146" s="87">
        <v>1.6637590769389812</v>
      </c>
      <c r="K146" s="87">
        <v>6.3862987334301282</v>
      </c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</row>
    <row r="147" spans="6:56" x14ac:dyDescent="0.25">
      <c r="F147" s="5"/>
      <c r="I147" s="86">
        <v>146</v>
      </c>
      <c r="J147" s="87">
        <v>0.53558750936371435</v>
      </c>
      <c r="K147" s="87">
        <v>7.2160360996189716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</row>
    <row r="148" spans="6:56" x14ac:dyDescent="0.25">
      <c r="F148" s="5"/>
      <c r="I148" s="86">
        <v>147</v>
      </c>
      <c r="J148" s="87">
        <v>1.85866824811123</v>
      </c>
      <c r="K148" s="87">
        <v>8.3749158949254596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</row>
    <row r="149" spans="6:56" x14ac:dyDescent="0.25">
      <c r="F149" s="5"/>
      <c r="I149" s="86">
        <v>148</v>
      </c>
      <c r="J149" s="87">
        <v>-0.48565574905096565</v>
      </c>
      <c r="K149" s="87">
        <v>5.3219754438736659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</row>
    <row r="150" spans="6:56" x14ac:dyDescent="0.25">
      <c r="F150" s="5"/>
      <c r="I150" s="86">
        <v>149</v>
      </c>
      <c r="J150" s="87">
        <v>3.418819986776346</v>
      </c>
      <c r="K150" s="87">
        <v>8.202605222580015</v>
      </c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</row>
    <row r="151" spans="6:56" x14ac:dyDescent="0.25">
      <c r="F151" s="5"/>
      <c r="I151" s="86">
        <v>150</v>
      </c>
      <c r="J151" s="87">
        <v>-1.1289532073501314</v>
      </c>
      <c r="K151" s="87">
        <v>4.6127715451519986</v>
      </c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</row>
    <row r="152" spans="6:56" x14ac:dyDescent="0.25">
      <c r="F152" s="5"/>
      <c r="I152" s="86">
        <v>151</v>
      </c>
      <c r="J152" s="87">
        <v>-0.74869452611621767</v>
      </c>
      <c r="K152" s="87">
        <v>6.1538215083048433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</row>
    <row r="153" spans="6:56" x14ac:dyDescent="0.25">
      <c r="F153" s="5"/>
      <c r="I153" s="86">
        <v>152</v>
      </c>
      <c r="J153" s="87">
        <v>2.1088930115717233</v>
      </c>
      <c r="K153" s="87">
        <v>7.9843539162194945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</row>
    <row r="154" spans="6:56" x14ac:dyDescent="0.25">
      <c r="F154" s="5"/>
      <c r="I154" s="86">
        <v>153</v>
      </c>
      <c r="J154" s="87">
        <v>0.27082120539190857</v>
      </c>
      <c r="K154" s="87">
        <v>6.6695568487742669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</row>
    <row r="155" spans="6:56" x14ac:dyDescent="0.25">
      <c r="F155" s="5"/>
      <c r="I155" s="86">
        <v>154</v>
      </c>
      <c r="J155" s="87">
        <v>1.9964617064058885</v>
      </c>
      <c r="K155" s="87">
        <v>7.0809227929054863</v>
      </c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</row>
    <row r="156" spans="6:56" x14ac:dyDescent="0.25">
      <c r="F156" s="5"/>
      <c r="I156" s="86">
        <v>155</v>
      </c>
      <c r="J156" s="87">
        <v>2.7652524335974551</v>
      </c>
      <c r="K156" s="87">
        <v>7.0506869500929801</v>
      </c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</row>
    <row r="157" spans="6:56" x14ac:dyDescent="0.25">
      <c r="F157" s="5"/>
      <c r="I157" s="86">
        <v>156</v>
      </c>
      <c r="J157" s="87">
        <v>1.9386333925846615</v>
      </c>
      <c r="K157" s="87">
        <v>5.8064170897251159</v>
      </c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</row>
    <row r="158" spans="6:56" x14ac:dyDescent="0.25">
      <c r="F158" s="5"/>
      <c r="I158" s="86">
        <v>157</v>
      </c>
      <c r="J158" s="87">
        <v>1.4061039758791978</v>
      </c>
      <c r="K158" s="87">
        <v>7.0147171268101358</v>
      </c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</row>
    <row r="159" spans="6:56" x14ac:dyDescent="0.25">
      <c r="F159" s="5"/>
      <c r="I159" s="86">
        <v>158</v>
      </c>
      <c r="J159" s="87">
        <v>3.5499657727136658</v>
      </c>
      <c r="K159" s="87">
        <v>7.0775582513472619</v>
      </c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</row>
    <row r="160" spans="6:56" x14ac:dyDescent="0.25">
      <c r="F160" s="5"/>
      <c r="I160" s="86">
        <v>159</v>
      </c>
      <c r="J160" s="87">
        <v>1.460909074536433</v>
      </c>
      <c r="K160" s="87">
        <v>6.7609708893297098</v>
      </c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</row>
    <row r="161" spans="6:56" x14ac:dyDescent="0.25">
      <c r="F161" s="5"/>
      <c r="I161" s="86">
        <v>160</v>
      </c>
      <c r="J161" s="87">
        <v>-0.96764794476860683</v>
      </c>
      <c r="K161" s="87">
        <v>4.8426696414540542</v>
      </c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</row>
    <row r="162" spans="6:56" x14ac:dyDescent="0.25">
      <c r="F162" s="5"/>
      <c r="I162" s="86">
        <v>161</v>
      </c>
      <c r="J162" s="87">
        <v>2.6694878032177281</v>
      </c>
      <c r="K162" s="87">
        <v>7.7803133807891331</v>
      </c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</row>
    <row r="163" spans="6:56" x14ac:dyDescent="0.25">
      <c r="F163" s="5"/>
      <c r="I163" s="86">
        <v>162</v>
      </c>
      <c r="J163" s="87">
        <v>2.4057566986007766</v>
      </c>
      <c r="K163" s="87">
        <v>9.1834115739631201</v>
      </c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</row>
    <row r="164" spans="6:56" x14ac:dyDescent="0.25">
      <c r="F164" s="5"/>
      <c r="I164" s="86">
        <v>163</v>
      </c>
      <c r="J164" s="87">
        <v>0.58706324961404999</v>
      </c>
      <c r="K164" s="87">
        <v>5.1115215188584813</v>
      </c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</row>
    <row r="165" spans="6:56" x14ac:dyDescent="0.25">
      <c r="F165" s="5"/>
      <c r="I165" s="86">
        <v>164</v>
      </c>
      <c r="J165" s="87">
        <v>0.15829174802105417</v>
      </c>
      <c r="K165" s="87">
        <v>7.4051129339117878</v>
      </c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</row>
    <row r="166" spans="6:56" x14ac:dyDescent="0.25">
      <c r="F166" s="5"/>
      <c r="I166" s="86">
        <v>165</v>
      </c>
      <c r="J166" s="87">
        <v>2.498828647505424</v>
      </c>
      <c r="K166" s="87">
        <v>6.4745377855700674</v>
      </c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</row>
    <row r="167" spans="6:56" x14ac:dyDescent="0.25">
      <c r="F167" s="5"/>
      <c r="I167" s="86">
        <v>166</v>
      </c>
      <c r="J167" s="87">
        <v>4.7037304377743876</v>
      </c>
      <c r="K167" s="87">
        <v>9.6810228328680452</v>
      </c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</row>
    <row r="168" spans="6:56" x14ac:dyDescent="0.25">
      <c r="F168" s="5"/>
      <c r="I168" s="86">
        <v>167</v>
      </c>
      <c r="J168" s="87">
        <v>0.6951478568336249</v>
      </c>
      <c r="K168" s="87">
        <v>7.6364700536566126</v>
      </c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</row>
    <row r="169" spans="6:56" x14ac:dyDescent="0.25">
      <c r="F169" s="5"/>
      <c r="I169" s="86">
        <v>168</v>
      </c>
      <c r="J169" s="87">
        <v>1.9804222652020043</v>
      </c>
      <c r="K169" s="87">
        <v>6.2381069773003022</v>
      </c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</row>
    <row r="170" spans="6:56" x14ac:dyDescent="0.25">
      <c r="F170" s="5"/>
      <c r="I170" s="86">
        <v>169</v>
      </c>
      <c r="J170" s="87">
        <v>0.47396830361687936</v>
      </c>
      <c r="K170" s="87">
        <v>6.5168729256025468</v>
      </c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</row>
    <row r="171" spans="6:56" x14ac:dyDescent="0.25">
      <c r="F171" s="5"/>
      <c r="I171" s="86">
        <v>170</v>
      </c>
      <c r="J171" s="87">
        <v>1.7069092324480186</v>
      </c>
      <c r="K171" s="87">
        <v>5.8938177321053056</v>
      </c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</row>
    <row r="172" spans="6:56" x14ac:dyDescent="0.25">
      <c r="F172" s="5"/>
      <c r="I172" s="86">
        <v>171</v>
      </c>
      <c r="J172" s="87">
        <v>2.3063345851533246</v>
      </c>
      <c r="K172" s="87">
        <v>8.8753723129449167</v>
      </c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</row>
    <row r="173" spans="6:56" x14ac:dyDescent="0.25">
      <c r="F173" s="5"/>
      <c r="I173" s="86">
        <v>172</v>
      </c>
      <c r="J173" s="87">
        <v>1.4618414066109935</v>
      </c>
      <c r="K173" s="87">
        <v>6.4152988896005345</v>
      </c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</row>
    <row r="174" spans="6:56" x14ac:dyDescent="0.25">
      <c r="F174" s="5"/>
      <c r="I174" s="86">
        <v>173</v>
      </c>
      <c r="J174" s="87">
        <v>0.12246948149897197</v>
      </c>
      <c r="K174" s="87">
        <v>6.3057574223482451</v>
      </c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</row>
    <row r="175" spans="6:56" x14ac:dyDescent="0.25">
      <c r="F175" s="5"/>
      <c r="I175" s="86">
        <v>174</v>
      </c>
      <c r="J175" s="87">
        <v>2.540043321117734</v>
      </c>
      <c r="K175" s="87">
        <v>8.1542906314788635</v>
      </c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</row>
    <row r="176" spans="6:56" x14ac:dyDescent="0.25">
      <c r="F176" s="5"/>
      <c r="I176" s="86">
        <v>175</v>
      </c>
      <c r="J176" s="87">
        <v>3.6061362188995867</v>
      </c>
      <c r="K176" s="87">
        <v>7.6038346564424231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</row>
    <row r="177" spans="6:56" x14ac:dyDescent="0.25">
      <c r="F177" s="5"/>
      <c r="I177" s="86">
        <v>176</v>
      </c>
      <c r="J177" s="87">
        <v>6.125516423124223</v>
      </c>
      <c r="K177" s="87">
        <v>10.092571515271381</v>
      </c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</row>
    <row r="178" spans="6:56" x14ac:dyDescent="0.25">
      <c r="F178" s="5"/>
      <c r="I178" s="86">
        <v>177</v>
      </c>
      <c r="J178" s="87">
        <v>1.3682344165156413</v>
      </c>
      <c r="K178" s="87">
        <v>6.2088026928347633</v>
      </c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</row>
    <row r="179" spans="6:56" x14ac:dyDescent="0.25">
      <c r="F179" s="5"/>
      <c r="I179" s="86">
        <v>178</v>
      </c>
      <c r="J179" s="87">
        <v>1.4731304153342855</v>
      </c>
      <c r="K179" s="87">
        <v>7.4010838233302163</v>
      </c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</row>
    <row r="180" spans="6:56" x14ac:dyDescent="0.25">
      <c r="F180" s="5"/>
      <c r="I180" s="86">
        <v>179</v>
      </c>
      <c r="J180" s="87">
        <v>2.594857703865749</v>
      </c>
      <c r="K180" s="87">
        <v>8.7296684636353952</v>
      </c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</row>
    <row r="181" spans="6:56" x14ac:dyDescent="0.25">
      <c r="F181" s="5"/>
      <c r="I181" s="86">
        <v>180</v>
      </c>
      <c r="J181" s="87">
        <v>5.0770536517424887</v>
      </c>
      <c r="K181" s="87">
        <v>8.0155463204686406</v>
      </c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</row>
    <row r="182" spans="6:56" x14ac:dyDescent="0.25">
      <c r="F182" s="5"/>
      <c r="I182" s="86">
        <v>181</v>
      </c>
      <c r="J182" s="87">
        <v>4.0754389299892786</v>
      </c>
      <c r="K182" s="87">
        <v>9.9663499917278848</v>
      </c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</row>
    <row r="183" spans="6:56" x14ac:dyDescent="0.25">
      <c r="F183" s="5"/>
      <c r="I183" s="86">
        <v>182</v>
      </c>
      <c r="J183" s="87">
        <v>-0.14112751966671411</v>
      </c>
      <c r="K183" s="87">
        <v>5.7310778502719328</v>
      </c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</row>
    <row r="184" spans="6:56" x14ac:dyDescent="0.25">
      <c r="F184" s="5"/>
      <c r="I184" s="86">
        <v>183</v>
      </c>
      <c r="J184" s="87">
        <v>-6.9425998074729378E-2</v>
      </c>
      <c r="K184" s="87">
        <v>4.8544937713515148</v>
      </c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</row>
    <row r="185" spans="6:56" x14ac:dyDescent="0.25">
      <c r="F185" s="5"/>
      <c r="I185" s="86">
        <v>184</v>
      </c>
      <c r="J185" s="87">
        <v>1.2926300591496398</v>
      </c>
      <c r="K185" s="87">
        <v>6.5938265498554429</v>
      </c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</row>
    <row r="186" spans="6:56" x14ac:dyDescent="0.25">
      <c r="F186" s="5"/>
      <c r="I186" s="86">
        <v>185</v>
      </c>
      <c r="J186" s="87">
        <v>1.2863610109104862E-2</v>
      </c>
      <c r="K186" s="87">
        <v>6.4585714046577127</v>
      </c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</row>
    <row r="187" spans="6:56" x14ac:dyDescent="0.25">
      <c r="F187" s="5"/>
      <c r="I187" s="86">
        <v>186</v>
      </c>
      <c r="J187" s="87">
        <v>-2.2725495560232325</v>
      </c>
      <c r="K187" s="87">
        <v>5.9016236276421381</v>
      </c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</row>
    <row r="188" spans="6:56" x14ac:dyDescent="0.25">
      <c r="F188" s="5"/>
      <c r="I188" s="86">
        <v>187</v>
      </c>
      <c r="J188" s="87">
        <v>3.3501520231966726</v>
      </c>
      <c r="K188" s="87">
        <v>7.0527125258745462</v>
      </c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</row>
    <row r="189" spans="6:56" x14ac:dyDescent="0.25">
      <c r="F189" s="5"/>
      <c r="I189" s="86">
        <v>188</v>
      </c>
      <c r="J189" s="87">
        <v>1.1103698803985402</v>
      </c>
      <c r="K189" s="87">
        <v>5.8741053275270287</v>
      </c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</row>
    <row r="190" spans="6:56" x14ac:dyDescent="0.25">
      <c r="F190" s="5"/>
      <c r="I190" s="86">
        <v>189</v>
      </c>
      <c r="J190" s="87">
        <v>0.84835892719656814</v>
      </c>
      <c r="K190" s="87">
        <v>5.5075877491315302</v>
      </c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</row>
    <row r="191" spans="6:56" x14ac:dyDescent="0.25">
      <c r="F191" s="5"/>
      <c r="I191" s="86">
        <v>190</v>
      </c>
      <c r="J191" s="87">
        <v>13.028499400758538</v>
      </c>
      <c r="K191" s="87">
        <v>11.598092169889648</v>
      </c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</row>
    <row r="192" spans="6:56" x14ac:dyDescent="0.25">
      <c r="F192" s="5"/>
      <c r="I192" s="86">
        <v>191</v>
      </c>
      <c r="J192" s="87">
        <v>2.3081762330064528</v>
      </c>
      <c r="K192" s="87">
        <v>9.1388060134802416</v>
      </c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</row>
    <row r="193" spans="6:56" x14ac:dyDescent="0.25">
      <c r="F193" s="5"/>
      <c r="I193" s="86">
        <v>192</v>
      </c>
      <c r="J193" s="87">
        <v>2.3305096448142661</v>
      </c>
      <c r="K193" s="87">
        <v>6.8869147547893883</v>
      </c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</row>
    <row r="194" spans="6:56" x14ac:dyDescent="0.25">
      <c r="F194" s="5"/>
      <c r="I194" s="86">
        <v>193</v>
      </c>
      <c r="J194" s="87">
        <v>1.895471677053858</v>
      </c>
      <c r="K194" s="87">
        <v>6.6657553677258523</v>
      </c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</row>
    <row r="195" spans="6:56" x14ac:dyDescent="0.25">
      <c r="F195" s="5"/>
      <c r="I195" s="86">
        <v>194</v>
      </c>
      <c r="J195" s="87">
        <v>3.2654761529959018</v>
      </c>
      <c r="K195" s="87">
        <v>9.0822109238418172</v>
      </c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</row>
    <row r="196" spans="6:56" x14ac:dyDescent="0.25">
      <c r="F196" s="5"/>
      <c r="I196" s="86">
        <v>195</v>
      </c>
      <c r="J196" s="87">
        <v>1.776279784636082</v>
      </c>
      <c r="K196" s="87">
        <v>6.9067032725513551</v>
      </c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</row>
    <row r="197" spans="6:56" x14ac:dyDescent="0.25">
      <c r="F197" s="5"/>
      <c r="I197" s="86">
        <v>196</v>
      </c>
      <c r="J197" s="87">
        <v>4.8940685636538639E-2</v>
      </c>
      <c r="K197" s="87">
        <v>5.2385085384853758</v>
      </c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</row>
    <row r="198" spans="6:56" x14ac:dyDescent="0.25">
      <c r="F198" s="5"/>
      <c r="I198" s="86">
        <v>197</v>
      </c>
      <c r="J198" s="87">
        <v>0.34987482303367745</v>
      </c>
      <c r="K198" s="87">
        <v>6.6488401572168918</v>
      </c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</row>
    <row r="199" spans="6:56" x14ac:dyDescent="0.25">
      <c r="F199" s="5"/>
      <c r="I199" s="86">
        <v>198</v>
      </c>
      <c r="J199" s="87">
        <v>2.5453272569864076</v>
      </c>
      <c r="K199" s="87">
        <v>7.6589952277169138</v>
      </c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</row>
    <row r="200" spans="6:56" x14ac:dyDescent="0.25">
      <c r="F200" s="5"/>
      <c r="I200" s="86">
        <v>199</v>
      </c>
      <c r="J200" s="87">
        <v>2.3968032348990969</v>
      </c>
      <c r="K200" s="87">
        <v>6.6645411650309132</v>
      </c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</row>
    <row r="201" spans="6:56" x14ac:dyDescent="0.25">
      <c r="F201" s="5"/>
      <c r="I201" s="86">
        <v>200</v>
      </c>
      <c r="J201" s="87">
        <v>1.9385179854718517</v>
      </c>
      <c r="K201" s="87">
        <v>5.8916526776144407</v>
      </c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</row>
    <row r="202" spans="6:56" x14ac:dyDescent="0.25">
      <c r="F202" s="5"/>
      <c r="I202" s="86">
        <v>201</v>
      </c>
      <c r="J202" s="87">
        <v>7.0421095792094821</v>
      </c>
      <c r="K202" s="87">
        <v>9.6937215381912214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</row>
    <row r="203" spans="6:56" x14ac:dyDescent="0.25">
      <c r="F203" s="5"/>
      <c r="I203" s="86">
        <v>202</v>
      </c>
      <c r="J203" s="87">
        <v>2.3861145589216504</v>
      </c>
      <c r="K203" s="87">
        <v>6.7224700743987347</v>
      </c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</row>
    <row r="204" spans="6:56" x14ac:dyDescent="0.25">
      <c r="F204" s="5"/>
      <c r="I204" s="86">
        <v>203</v>
      </c>
      <c r="J204" s="87">
        <v>0.26363047879003876</v>
      </c>
      <c r="K204" s="87">
        <v>7.5249994934467344</v>
      </c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</row>
    <row r="205" spans="6:56" x14ac:dyDescent="0.25">
      <c r="F205" s="5"/>
      <c r="I205" s="86">
        <v>204</v>
      </c>
      <c r="J205" s="87">
        <v>4.5265901890905358</v>
      </c>
      <c r="K205" s="87">
        <v>8.3998635896801765</v>
      </c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</row>
    <row r="206" spans="6:56" x14ac:dyDescent="0.25">
      <c r="F206" s="5"/>
      <c r="I206" s="86">
        <v>205</v>
      </c>
      <c r="J206" s="87">
        <v>0.60201691843836969</v>
      </c>
      <c r="K206" s="87">
        <v>6.8348817148272154</v>
      </c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</row>
    <row r="207" spans="6:56" x14ac:dyDescent="0.25">
      <c r="F207" s="5"/>
      <c r="I207" s="86">
        <v>206</v>
      </c>
      <c r="J207" s="87">
        <v>-0.49712133590038832</v>
      </c>
      <c r="K207" s="87">
        <v>5.4249095146333222</v>
      </c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</row>
    <row r="208" spans="6:56" x14ac:dyDescent="0.25">
      <c r="F208" s="5"/>
      <c r="I208" s="86">
        <v>207</v>
      </c>
      <c r="J208" s="87">
        <v>-0.2784250879145862</v>
      </c>
      <c r="K208" s="87">
        <v>5.4572435881352543</v>
      </c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</row>
    <row r="209" spans="6:56" x14ac:dyDescent="0.25">
      <c r="F209" s="5"/>
      <c r="I209" s="86">
        <v>208</v>
      </c>
      <c r="J209" s="87">
        <v>0.94470581165807666</v>
      </c>
      <c r="K209" s="87">
        <v>7.6398615821629798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</row>
    <row r="210" spans="6:56" x14ac:dyDescent="0.25">
      <c r="F210" s="5"/>
      <c r="I210" s="86">
        <v>209</v>
      </c>
      <c r="J210" s="87">
        <v>-2.812948147364855</v>
      </c>
      <c r="K210" s="87">
        <v>5.0666433241336293</v>
      </c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</row>
    <row r="211" spans="6:56" x14ac:dyDescent="0.25">
      <c r="F211" s="5"/>
      <c r="I211" s="86">
        <v>210</v>
      </c>
      <c r="J211" s="87">
        <v>1.207752457654176</v>
      </c>
      <c r="K211" s="87">
        <v>6.5134670695659915</v>
      </c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</row>
    <row r="212" spans="6:56" x14ac:dyDescent="0.25">
      <c r="F212" s="5"/>
      <c r="I212" s="86">
        <v>211</v>
      </c>
      <c r="J212" s="87">
        <v>1.6336578269598654</v>
      </c>
      <c r="K212" s="87">
        <v>7.3205560970301731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</row>
    <row r="213" spans="6:56" x14ac:dyDescent="0.25">
      <c r="F213" s="5"/>
      <c r="I213" s="86">
        <v>212</v>
      </c>
      <c r="J213" s="87">
        <v>1.3190117205405132</v>
      </c>
      <c r="K213" s="87">
        <v>5.9123966949456079</v>
      </c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</row>
    <row r="214" spans="6:56" x14ac:dyDescent="0.25">
      <c r="F214" s="5"/>
      <c r="I214" s="86">
        <v>213</v>
      </c>
      <c r="J214" s="87">
        <v>0.41102656566749296</v>
      </c>
      <c r="K214" s="87">
        <v>5.3893684964756279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</row>
    <row r="215" spans="6:56" x14ac:dyDescent="0.25">
      <c r="F215" s="5"/>
      <c r="I215" s="86">
        <v>214</v>
      </c>
      <c r="J215" s="87">
        <v>0.22274122241776251</v>
      </c>
      <c r="K215" s="87">
        <v>6.1728821209880547</v>
      </c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</row>
    <row r="216" spans="6:56" x14ac:dyDescent="0.25">
      <c r="F216" s="5"/>
      <c r="I216" s="86">
        <v>215</v>
      </c>
      <c r="J216" s="87">
        <v>0.59085089959611103</v>
      </c>
      <c r="K216" s="87">
        <v>6.7338409410837867</v>
      </c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</row>
    <row r="217" spans="6:56" x14ac:dyDescent="0.25">
      <c r="F217" s="5"/>
      <c r="I217" s="86">
        <v>216</v>
      </c>
      <c r="J217" s="87">
        <v>2.8236558417332542</v>
      </c>
      <c r="K217" s="87">
        <v>8.289073864265454</v>
      </c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</row>
    <row r="218" spans="6:56" x14ac:dyDescent="0.25">
      <c r="F218" s="5"/>
      <c r="I218" s="86">
        <v>217</v>
      </c>
      <c r="J218" s="87">
        <v>3.4277431411224422</v>
      </c>
      <c r="K218" s="87">
        <v>9.5774734407501292</v>
      </c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</row>
    <row r="219" spans="6:56" x14ac:dyDescent="0.25">
      <c r="F219" s="5"/>
      <c r="I219" s="86">
        <v>218</v>
      </c>
      <c r="J219" s="87">
        <v>1.3597581278151347</v>
      </c>
      <c r="K219" s="87">
        <v>5.3154486920921853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</row>
    <row r="220" spans="6:56" x14ac:dyDescent="0.25">
      <c r="F220" s="5"/>
      <c r="I220" s="86">
        <v>219</v>
      </c>
      <c r="J220" s="87">
        <v>1.7151880657839724</v>
      </c>
      <c r="K220" s="87">
        <v>6.7958142079895145</v>
      </c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</row>
    <row r="221" spans="6:56" x14ac:dyDescent="0.25">
      <c r="F221" s="5"/>
      <c r="I221" s="86">
        <v>220</v>
      </c>
      <c r="J221" s="87">
        <v>0.19385325358505323</v>
      </c>
      <c r="K221" s="87">
        <v>5.3423280420449446</v>
      </c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</row>
    <row r="222" spans="6:56" x14ac:dyDescent="0.25">
      <c r="F222" s="5"/>
      <c r="I222" s="86">
        <v>221</v>
      </c>
      <c r="J222" s="87">
        <v>6.3077341337643471</v>
      </c>
      <c r="K222" s="87">
        <v>7.8430593666920085</v>
      </c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</row>
    <row r="223" spans="6:56" x14ac:dyDescent="0.25">
      <c r="F223" s="5"/>
      <c r="I223" s="86">
        <v>222</v>
      </c>
      <c r="J223" s="87">
        <v>-2.0086258908887418</v>
      </c>
      <c r="K223" s="87">
        <v>4.1888326760186851</v>
      </c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</row>
    <row r="224" spans="6:56" x14ac:dyDescent="0.25">
      <c r="F224" s="5"/>
      <c r="I224" s="86">
        <v>223</v>
      </c>
      <c r="J224" s="87">
        <v>0.80704720286205367</v>
      </c>
      <c r="K224" s="87">
        <v>5.380749486640485</v>
      </c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</row>
    <row r="225" spans="6:56" x14ac:dyDescent="0.25">
      <c r="F225" s="5"/>
      <c r="I225" s="86">
        <v>224</v>
      </c>
      <c r="J225" s="87">
        <v>0.76830603333335379</v>
      </c>
      <c r="K225" s="87">
        <v>4.5059967365556037</v>
      </c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</row>
    <row r="226" spans="6:56" x14ac:dyDescent="0.25">
      <c r="F226" s="5"/>
      <c r="I226" s="86">
        <v>225</v>
      </c>
      <c r="J226" s="87">
        <v>-1.145306577785715</v>
      </c>
      <c r="K226" s="87">
        <v>4.6245511544636333</v>
      </c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</row>
    <row r="227" spans="6:56" x14ac:dyDescent="0.25">
      <c r="F227" s="5"/>
      <c r="I227" s="86">
        <v>226</v>
      </c>
      <c r="J227" s="87">
        <v>1.1883463951794728</v>
      </c>
      <c r="K227" s="87">
        <v>5.6943410999884847</v>
      </c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</row>
    <row r="228" spans="6:56" x14ac:dyDescent="0.25">
      <c r="F228" s="5"/>
      <c r="I228" s="86">
        <v>227</v>
      </c>
      <c r="J228" s="87">
        <v>-0.58218953005678209</v>
      </c>
      <c r="K228" s="87">
        <v>6.5569617099893627</v>
      </c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</row>
    <row r="229" spans="6:56" x14ac:dyDescent="0.25">
      <c r="F229" s="5"/>
      <c r="I229" s="86">
        <v>228</v>
      </c>
      <c r="J229" s="87">
        <v>3.0552827546352841</v>
      </c>
      <c r="K229" s="87">
        <v>8.5048975896204251</v>
      </c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</row>
    <row r="230" spans="6:56" x14ac:dyDescent="0.25">
      <c r="F230" s="5"/>
      <c r="I230" s="86">
        <v>229</v>
      </c>
      <c r="J230" s="87">
        <v>2.009228115510088</v>
      </c>
      <c r="K230" s="87">
        <v>7.7873161268279683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</row>
    <row r="231" spans="6:56" x14ac:dyDescent="0.25">
      <c r="F231" s="5"/>
      <c r="I231" s="86">
        <v>230</v>
      </c>
      <c r="J231" s="87">
        <v>5.581356895798268</v>
      </c>
      <c r="K231" s="87">
        <v>8.051801957523212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</row>
    <row r="232" spans="6:56" x14ac:dyDescent="0.25">
      <c r="F232" s="5"/>
      <c r="I232" s="86">
        <v>231</v>
      </c>
      <c r="J232" s="87">
        <v>8.0937323188533146</v>
      </c>
      <c r="K232" s="87">
        <v>10.60915377489682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</row>
    <row r="233" spans="6:56" x14ac:dyDescent="0.25">
      <c r="F233" s="5"/>
      <c r="I233" s="86">
        <v>232</v>
      </c>
      <c r="J233" s="87">
        <v>1.6094396819953314</v>
      </c>
      <c r="K233" s="87">
        <v>7.1530487633656268</v>
      </c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</row>
    <row r="234" spans="6:56" x14ac:dyDescent="0.25">
      <c r="F234" s="5"/>
      <c r="I234" s="86">
        <v>233</v>
      </c>
      <c r="J234" s="87">
        <v>4.2723983699373269</v>
      </c>
      <c r="K234" s="87">
        <v>6.5313421251645005</v>
      </c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</row>
    <row r="235" spans="6:56" x14ac:dyDescent="0.25">
      <c r="F235" s="5"/>
      <c r="I235" s="86">
        <v>234</v>
      </c>
      <c r="J235" s="87">
        <v>23.626728188463133</v>
      </c>
      <c r="K235" s="87">
        <v>17.251289086423224</v>
      </c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</row>
    <row r="236" spans="6:56" x14ac:dyDescent="0.25">
      <c r="F236" s="5"/>
      <c r="I236" s="86">
        <v>235</v>
      </c>
      <c r="J236" s="87">
        <v>3.7368050411076599</v>
      </c>
      <c r="K236" s="87">
        <v>8.5708082742249161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</row>
    <row r="237" spans="6:56" x14ac:dyDescent="0.25">
      <c r="F237" s="5"/>
      <c r="I237" s="86">
        <v>236</v>
      </c>
      <c r="J237" s="87">
        <v>3.487582416609885</v>
      </c>
      <c r="K237" s="87">
        <v>8.2376573030838376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</row>
    <row r="238" spans="6:56" x14ac:dyDescent="0.25">
      <c r="F238" s="5"/>
      <c r="I238" s="86">
        <v>237</v>
      </c>
      <c r="J238" s="87">
        <v>3.429983252371418</v>
      </c>
      <c r="K238" s="87">
        <v>8.0346443206453273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</row>
    <row r="239" spans="6:56" x14ac:dyDescent="0.25">
      <c r="F239" s="5"/>
      <c r="I239" s="86">
        <v>238</v>
      </c>
      <c r="J239" s="87">
        <v>3.6221044034757934</v>
      </c>
      <c r="K239" s="87">
        <v>9.7102098251308728</v>
      </c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</row>
    <row r="240" spans="6:56" x14ac:dyDescent="0.25">
      <c r="F240" s="5"/>
      <c r="I240" s="86">
        <v>239</v>
      </c>
      <c r="J240" s="87">
        <v>1.0724339971244392</v>
      </c>
      <c r="K240" s="87">
        <v>6.1951645612131241</v>
      </c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</row>
    <row r="241" spans="6:56" x14ac:dyDescent="0.25">
      <c r="F241" s="5"/>
      <c r="I241" s="86">
        <v>240</v>
      </c>
      <c r="J241" s="87">
        <v>0.23077446635678278</v>
      </c>
      <c r="K241" s="87">
        <v>6.9718877459150397</v>
      </c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</row>
    <row r="242" spans="6:56" x14ac:dyDescent="0.25">
      <c r="F242" s="5"/>
      <c r="I242" s="86">
        <v>241</v>
      </c>
      <c r="J242" s="87">
        <v>2.2866270853240254</v>
      </c>
      <c r="K242" s="87">
        <v>7.8184592183815642</v>
      </c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</row>
    <row r="243" spans="6:56" x14ac:dyDescent="0.25">
      <c r="F243" s="5"/>
      <c r="I243" s="86">
        <v>242</v>
      </c>
      <c r="J243" s="87">
        <v>2.6501146736074706</v>
      </c>
      <c r="K243" s="87">
        <v>6.6851809513498566</v>
      </c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</row>
    <row r="244" spans="6:56" x14ac:dyDescent="0.25">
      <c r="F244" s="5"/>
      <c r="I244" s="86">
        <v>243</v>
      </c>
      <c r="J244" s="87">
        <v>-0.13739092702589684</v>
      </c>
      <c r="K244" s="87">
        <v>6.5569064196766007</v>
      </c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</row>
    <row r="245" spans="6:56" x14ac:dyDescent="0.25">
      <c r="F245" s="5"/>
      <c r="I245" s="86">
        <v>244</v>
      </c>
      <c r="J245" s="87">
        <v>3.2834872289881503</v>
      </c>
      <c r="K245" s="87">
        <v>9.6115218830535145</v>
      </c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</row>
    <row r="246" spans="6:56" x14ac:dyDescent="0.25">
      <c r="F246" s="5"/>
      <c r="I246" s="86">
        <v>245</v>
      </c>
      <c r="J246" s="87">
        <v>-2.5797265572566488</v>
      </c>
      <c r="K246" s="87">
        <v>4.338475429826933</v>
      </c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</row>
    <row r="247" spans="6:56" x14ac:dyDescent="0.25">
      <c r="F247" s="5"/>
      <c r="I247" s="86">
        <v>246</v>
      </c>
      <c r="J247" s="87">
        <v>2.4636229340588041</v>
      </c>
      <c r="K247" s="87">
        <v>5.3453323449426344</v>
      </c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</row>
    <row r="248" spans="6:56" x14ac:dyDescent="0.25">
      <c r="F248" s="5"/>
      <c r="I248" s="86">
        <v>247</v>
      </c>
      <c r="J248" s="87">
        <v>1.6089413794120571</v>
      </c>
      <c r="K248" s="87">
        <v>8.0178288331451704</v>
      </c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</row>
    <row r="249" spans="6:56" x14ac:dyDescent="0.25">
      <c r="F249" s="5"/>
      <c r="I249" s="86">
        <v>248</v>
      </c>
      <c r="J249" s="87">
        <v>1.8672937605543201</v>
      </c>
      <c r="K249" s="87">
        <v>7.2065817420199574</v>
      </c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</row>
    <row r="250" spans="6:56" x14ac:dyDescent="0.25">
      <c r="F250" s="5"/>
      <c r="I250" s="86">
        <v>249</v>
      </c>
      <c r="J250" s="87">
        <v>2.4491233485394588</v>
      </c>
      <c r="K250" s="87">
        <v>6.8504200644339255</v>
      </c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</row>
    <row r="251" spans="6:56" x14ac:dyDescent="0.25">
      <c r="F251" s="5"/>
      <c r="I251" s="86">
        <v>250</v>
      </c>
      <c r="J251" s="87">
        <v>1.3778711152653234</v>
      </c>
      <c r="K251" s="87">
        <v>5.5730723172562389</v>
      </c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</row>
    <row r="252" spans="6:56" x14ac:dyDescent="0.25">
      <c r="F252" s="5"/>
      <c r="I252" s="86">
        <v>251</v>
      </c>
      <c r="J252" s="87">
        <v>0.9500061156387396</v>
      </c>
      <c r="K252" s="87">
        <v>5.8199204709114047</v>
      </c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</row>
    <row r="253" spans="6:56" x14ac:dyDescent="0.25">
      <c r="F253" s="5"/>
      <c r="I253" s="86">
        <v>252</v>
      </c>
      <c r="J253" s="87">
        <v>-0.11773425033975116</v>
      </c>
      <c r="K253" s="87">
        <v>5.0781813982225446</v>
      </c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</row>
    <row r="254" spans="6:56" x14ac:dyDescent="0.25">
      <c r="F254" s="5"/>
      <c r="I254" s="86">
        <v>253</v>
      </c>
      <c r="J254" s="87">
        <v>-0.18267301596520991</v>
      </c>
      <c r="K254" s="87">
        <v>5.9755215791322494</v>
      </c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</row>
    <row r="255" spans="6:56" x14ac:dyDescent="0.25">
      <c r="F255" s="5"/>
      <c r="I255" s="86">
        <v>254</v>
      </c>
      <c r="J255" s="87">
        <v>-2.6637922264704628E-2</v>
      </c>
      <c r="K255" s="87">
        <v>5.2909521828184234</v>
      </c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</row>
    <row r="256" spans="6:56" x14ac:dyDescent="0.25">
      <c r="F256" s="5"/>
      <c r="I256" s="86">
        <v>255</v>
      </c>
      <c r="J256" s="87">
        <v>0.13823302694901329</v>
      </c>
      <c r="K256" s="87">
        <v>5.6620988288172258</v>
      </c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</row>
    <row r="257" spans="6:56" x14ac:dyDescent="0.25">
      <c r="F257" s="5"/>
      <c r="I257" s="86">
        <v>256</v>
      </c>
      <c r="J257" s="87">
        <v>-0.3398461646409876</v>
      </c>
      <c r="K257" s="87">
        <v>6.5126275005380192</v>
      </c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</row>
    <row r="258" spans="6:56" x14ac:dyDescent="0.25">
      <c r="F258" s="5"/>
      <c r="I258" s="86">
        <v>257</v>
      </c>
      <c r="J258" s="87">
        <v>4.0269698752781675</v>
      </c>
      <c r="K258" s="87">
        <v>7.0369668759917925</v>
      </c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</row>
    <row r="259" spans="6:56" x14ac:dyDescent="0.25">
      <c r="F259" s="5"/>
      <c r="I259" s="86">
        <v>258</v>
      </c>
      <c r="J259" s="87">
        <v>-1.2947600358640532</v>
      </c>
      <c r="K259" s="87">
        <v>6.052533824188461</v>
      </c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</row>
    <row r="260" spans="6:56" x14ac:dyDescent="0.25">
      <c r="F260" s="5"/>
      <c r="I260" s="86">
        <v>259</v>
      </c>
      <c r="J260" s="87">
        <v>2.6391050799311149</v>
      </c>
      <c r="K260" s="87">
        <v>7.7818418121550748</v>
      </c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</row>
    <row r="261" spans="6:56" x14ac:dyDescent="0.25">
      <c r="F261" s="5"/>
      <c r="I261" s="86">
        <v>260</v>
      </c>
      <c r="J261" s="87">
        <v>2.1167586979112443</v>
      </c>
      <c r="K261" s="87">
        <v>5.5726437029730569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</row>
    <row r="262" spans="6:56" x14ac:dyDescent="0.25">
      <c r="F262" s="5"/>
      <c r="I262" s="86">
        <v>261</v>
      </c>
      <c r="J262" s="87">
        <v>0.86015542346832152</v>
      </c>
      <c r="K262" s="87">
        <v>5.9927501174039186</v>
      </c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</row>
    <row r="263" spans="6:56" x14ac:dyDescent="0.25">
      <c r="F263" s="5"/>
      <c r="I263" s="86">
        <v>262</v>
      </c>
      <c r="J263" s="87">
        <v>2.6496805694347971</v>
      </c>
      <c r="K263" s="87">
        <v>8.4675167739842454</v>
      </c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</row>
    <row r="264" spans="6:56" x14ac:dyDescent="0.25">
      <c r="F264" s="5"/>
      <c r="I264" s="86">
        <v>263</v>
      </c>
      <c r="J264" s="87">
        <v>2.7194977178678972</v>
      </c>
      <c r="K264" s="87">
        <v>5.3681863514634225</v>
      </c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</row>
    <row r="265" spans="6:56" x14ac:dyDescent="0.25">
      <c r="F265" s="5"/>
      <c r="I265" s="86">
        <v>264</v>
      </c>
      <c r="J265" s="87">
        <v>2.1490938847214318</v>
      </c>
      <c r="K265" s="87">
        <v>7.8677257024985927</v>
      </c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</row>
    <row r="266" spans="6:56" x14ac:dyDescent="0.25">
      <c r="F266" s="5"/>
      <c r="I266" s="86">
        <v>265</v>
      </c>
      <c r="J266" s="87">
        <v>3.0336436353480352</v>
      </c>
      <c r="K266" s="87">
        <v>9.5387840695717756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</row>
    <row r="267" spans="6:56" x14ac:dyDescent="0.25">
      <c r="F267" s="5"/>
      <c r="I267" s="86">
        <v>266</v>
      </c>
      <c r="J267" s="87">
        <v>2.997995347550714</v>
      </c>
      <c r="K267" s="87">
        <v>6.0343391169761649</v>
      </c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</row>
    <row r="268" spans="6:56" x14ac:dyDescent="0.25">
      <c r="F268" s="5"/>
      <c r="I268" s="86">
        <v>267</v>
      </c>
      <c r="J268" s="87">
        <v>1.0045602067154986</v>
      </c>
      <c r="K268" s="87">
        <v>6.4261327365545533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</row>
    <row r="269" spans="6:56" x14ac:dyDescent="0.25">
      <c r="F269" s="5"/>
      <c r="I269" s="86">
        <v>268</v>
      </c>
      <c r="J269" s="87">
        <v>2.9535987974459488</v>
      </c>
      <c r="K269" s="87">
        <v>5.4522455013315518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</row>
    <row r="270" spans="6:56" x14ac:dyDescent="0.25">
      <c r="F270" s="5"/>
      <c r="I270" s="86">
        <v>269</v>
      </c>
      <c r="J270" s="87">
        <v>1.3655089197396246</v>
      </c>
      <c r="K270" s="87">
        <v>5.8455704424700237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</row>
    <row r="271" spans="6:56" x14ac:dyDescent="0.25">
      <c r="F271" s="5"/>
      <c r="I271" s="86">
        <v>270</v>
      </c>
      <c r="J271" s="87">
        <v>1.6944195573151859</v>
      </c>
      <c r="K271" s="87">
        <v>6.0435815919195335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</row>
    <row r="272" spans="6:56" x14ac:dyDescent="0.25">
      <c r="F272" s="5"/>
      <c r="I272" s="86">
        <v>271</v>
      </c>
      <c r="J272" s="87">
        <v>3.3906407436833526</v>
      </c>
      <c r="K272" s="87">
        <v>7.8271206916068738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</row>
    <row r="273" spans="6:56" x14ac:dyDescent="0.25">
      <c r="F273" s="5"/>
      <c r="I273" s="86">
        <v>272</v>
      </c>
      <c r="J273" s="87">
        <v>1.2699047078682026</v>
      </c>
      <c r="K273" s="87">
        <v>8.5869188650595643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</row>
    <row r="274" spans="6:56" x14ac:dyDescent="0.25">
      <c r="F274" s="5"/>
      <c r="I274" s="86">
        <v>273</v>
      </c>
      <c r="J274" s="87">
        <v>5.7621818156508837</v>
      </c>
      <c r="K274" s="87">
        <v>8.3042696037265884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</row>
    <row r="275" spans="6:56" x14ac:dyDescent="0.25">
      <c r="F275" s="5"/>
      <c r="I275" s="86">
        <v>274</v>
      </c>
      <c r="J275" s="87">
        <v>3.2819741821501394</v>
      </c>
      <c r="K275" s="87">
        <v>9.9659783547596827</v>
      </c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</row>
    <row r="276" spans="6:56" x14ac:dyDescent="0.25">
      <c r="F276" s="5"/>
      <c r="I276" s="86">
        <v>275</v>
      </c>
      <c r="J276" s="87">
        <v>1.7370846306653052</v>
      </c>
      <c r="K276" s="87">
        <v>7.6035479148549827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</row>
    <row r="277" spans="6:56" x14ac:dyDescent="0.25">
      <c r="F277" s="5"/>
      <c r="I277" s="86">
        <v>276</v>
      </c>
      <c r="J277" s="87">
        <v>2.3696631793661158</v>
      </c>
      <c r="K277" s="87">
        <v>7.8943291865193093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</row>
    <row r="278" spans="6:56" x14ac:dyDescent="0.25">
      <c r="F278" s="5"/>
      <c r="I278" s="86">
        <v>277</v>
      </c>
      <c r="J278" s="87">
        <v>0.7970573846768616</v>
      </c>
      <c r="K278" s="87">
        <v>6.7428732206237108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</row>
    <row r="279" spans="6:56" x14ac:dyDescent="0.25">
      <c r="F279" s="5"/>
      <c r="I279" s="86">
        <v>278</v>
      </c>
      <c r="J279" s="87">
        <v>0.45226397889141801</v>
      </c>
      <c r="K279" s="87">
        <v>5.7950465892176721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</row>
    <row r="280" spans="6:56" x14ac:dyDescent="0.25">
      <c r="F280" s="5"/>
      <c r="I280" s="86">
        <v>279</v>
      </c>
      <c r="J280" s="87">
        <v>2.3378690614071074</v>
      </c>
      <c r="K280" s="87">
        <v>5.6815642807587095</v>
      </c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</row>
    <row r="281" spans="6:56" x14ac:dyDescent="0.25">
      <c r="F281" s="5"/>
      <c r="I281" s="86">
        <v>280</v>
      </c>
      <c r="J281" s="87">
        <v>1.5629011888870208</v>
      </c>
      <c r="K281" s="87">
        <v>5.9569309335852898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</row>
    <row r="282" spans="6:56" x14ac:dyDescent="0.25">
      <c r="F282" s="5"/>
      <c r="I282" s="86">
        <v>281</v>
      </c>
      <c r="J282" s="87">
        <v>1.74414176769222</v>
      </c>
      <c r="K282" s="87">
        <v>6.2679288175049566</v>
      </c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</row>
    <row r="283" spans="6:56" x14ac:dyDescent="0.25">
      <c r="F283" s="5"/>
      <c r="I283" s="86">
        <v>282</v>
      </c>
      <c r="J283" s="87">
        <v>1.9099572480976343</v>
      </c>
      <c r="K283" s="87">
        <v>8.9413944355480233</v>
      </c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</row>
    <row r="284" spans="6:56" x14ac:dyDescent="0.25">
      <c r="F284" s="5"/>
      <c r="I284" s="86">
        <v>283</v>
      </c>
      <c r="J284" s="87">
        <v>1.4701663356846169</v>
      </c>
      <c r="K284" s="87">
        <v>9.3196269973592631</v>
      </c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</row>
    <row r="285" spans="6:56" x14ac:dyDescent="0.25">
      <c r="F285" s="5"/>
      <c r="I285" s="86">
        <v>284</v>
      </c>
      <c r="J285" s="87">
        <v>5.7370859589134859</v>
      </c>
      <c r="K285" s="87">
        <v>9.631044016362079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</row>
    <row r="286" spans="6:56" x14ac:dyDescent="0.25">
      <c r="F286" s="5"/>
      <c r="I286" s="86">
        <v>285</v>
      </c>
      <c r="J286" s="87">
        <v>1.785978082191777</v>
      </c>
      <c r="K286" s="87">
        <v>7.6792168040477353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</row>
    <row r="287" spans="6:56" x14ac:dyDescent="0.25">
      <c r="F287" s="5"/>
      <c r="I287" s="86">
        <v>286</v>
      </c>
      <c r="J287" s="87">
        <v>3.7972571334781922</v>
      </c>
      <c r="K287" s="87">
        <v>7.3900886699270441</v>
      </c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</row>
    <row r="288" spans="6:56" x14ac:dyDescent="0.25">
      <c r="F288" s="5"/>
      <c r="I288" s="86">
        <v>287</v>
      </c>
      <c r="J288" s="87">
        <v>3.1507651238218104</v>
      </c>
      <c r="K288" s="87">
        <v>9.2244795723928075</v>
      </c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</row>
    <row r="289" spans="6:56" x14ac:dyDescent="0.25">
      <c r="F289" s="5"/>
      <c r="I289" s="86">
        <v>288</v>
      </c>
      <c r="J289" s="87">
        <v>2.766811243083187</v>
      </c>
      <c r="K289" s="87">
        <v>7.9919634774526171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</row>
    <row r="290" spans="6:56" x14ac:dyDescent="0.25">
      <c r="F290" s="5"/>
      <c r="I290" s="86">
        <v>289</v>
      </c>
      <c r="J290" s="87">
        <v>0.20790263459625802</v>
      </c>
      <c r="K290" s="87">
        <v>6.8037461482202399</v>
      </c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</row>
    <row r="291" spans="6:56" x14ac:dyDescent="0.25">
      <c r="F291" s="5"/>
      <c r="I291" s="86">
        <v>290</v>
      </c>
      <c r="J291" s="87">
        <v>0.93784956878303127</v>
      </c>
      <c r="K291" s="87">
        <v>5.6003736258010086</v>
      </c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</row>
    <row r="292" spans="6:56" x14ac:dyDescent="0.25">
      <c r="F292" s="5"/>
      <c r="I292" s="86">
        <v>291</v>
      </c>
      <c r="J292" s="87">
        <v>0.49096011764561176</v>
      </c>
      <c r="K292" s="87">
        <v>6.3758475541178576</v>
      </c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</row>
    <row r="293" spans="6:56" x14ac:dyDescent="0.25">
      <c r="F293" s="5"/>
      <c r="I293" s="86">
        <v>292</v>
      </c>
      <c r="J293" s="87">
        <v>3.0144138280431125</v>
      </c>
      <c r="K293" s="87">
        <v>6.9940332634972435</v>
      </c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</row>
    <row r="294" spans="6:56" x14ac:dyDescent="0.25">
      <c r="F294" s="5"/>
      <c r="I294" s="86">
        <v>293</v>
      </c>
      <c r="J294" s="87">
        <v>2.2980097389415874</v>
      </c>
      <c r="K294" s="87">
        <v>7.5843728932911523</v>
      </c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</row>
    <row r="295" spans="6:56" x14ac:dyDescent="0.25">
      <c r="F295" s="5"/>
      <c r="I295" s="86">
        <v>294</v>
      </c>
      <c r="J295" s="87">
        <v>0.8027472738928898</v>
      </c>
      <c r="K295" s="87">
        <v>6.3307363893704993</v>
      </c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</row>
    <row r="296" spans="6:56" x14ac:dyDescent="0.25">
      <c r="F296" s="5"/>
      <c r="I296" s="86">
        <v>295</v>
      </c>
      <c r="J296" s="87">
        <v>1.6840510315751427</v>
      </c>
      <c r="K296" s="87">
        <v>6.229103776169203</v>
      </c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</row>
    <row r="297" spans="6:56" x14ac:dyDescent="0.25">
      <c r="F297" s="5"/>
      <c r="I297" s="86">
        <v>296</v>
      </c>
      <c r="J297" s="87">
        <v>-0.71641525583839094</v>
      </c>
      <c r="K297" s="87">
        <v>4.8960133599688982</v>
      </c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</row>
    <row r="298" spans="6:56" x14ac:dyDescent="0.25">
      <c r="F298" s="5"/>
      <c r="I298" s="86">
        <v>297</v>
      </c>
      <c r="J298" s="87">
        <v>-0.12218197587191426</v>
      </c>
      <c r="K298" s="87">
        <v>5.7959566596282617</v>
      </c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</row>
    <row r="299" spans="6:56" x14ac:dyDescent="0.25">
      <c r="F299" s="5"/>
      <c r="I299" s="86">
        <v>298</v>
      </c>
      <c r="J299" s="87">
        <v>1.5704872928395099</v>
      </c>
      <c r="K299" s="87">
        <v>7.074826011428482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</row>
    <row r="300" spans="6:56" x14ac:dyDescent="0.25">
      <c r="F300" s="5"/>
      <c r="I300" s="86">
        <v>299</v>
      </c>
      <c r="J300" s="87">
        <v>-0.51382837536808346</v>
      </c>
      <c r="K300" s="87">
        <v>4.6593745090153638</v>
      </c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</row>
    <row r="301" spans="6:56" x14ac:dyDescent="0.25">
      <c r="F301" s="5"/>
      <c r="I301" s="86">
        <v>300</v>
      </c>
      <c r="J301" s="87">
        <v>0.22115026829133289</v>
      </c>
      <c r="K301" s="87">
        <v>5.3462921504119016</v>
      </c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</row>
    <row r="302" spans="6:56" x14ac:dyDescent="0.25">
      <c r="F302" s="5"/>
      <c r="I302" s="86">
        <v>301</v>
      </c>
      <c r="J302" s="87">
        <v>2.3944811120024285</v>
      </c>
      <c r="K302" s="87">
        <v>6.1414000200078815</v>
      </c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</row>
    <row r="303" spans="6:56" x14ac:dyDescent="0.25">
      <c r="F303" s="5"/>
      <c r="I303" s="86">
        <v>302</v>
      </c>
      <c r="J303" s="87">
        <v>-0.17820572477958407</v>
      </c>
      <c r="K303" s="87">
        <v>5.7055419721138554</v>
      </c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</row>
    <row r="304" spans="6:56" x14ac:dyDescent="0.25">
      <c r="F304" s="5"/>
      <c r="I304" s="86">
        <v>303</v>
      </c>
      <c r="J304" s="87">
        <v>0.35961671359781011</v>
      </c>
      <c r="K304" s="87">
        <v>7.47824013795515</v>
      </c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</row>
    <row r="305" spans="6:56" x14ac:dyDescent="0.25">
      <c r="F305" s="5"/>
      <c r="I305" s="86">
        <v>304</v>
      </c>
      <c r="J305" s="87">
        <v>0.16267996994504408</v>
      </c>
      <c r="K305" s="87">
        <v>6.551903179114932</v>
      </c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</row>
    <row r="306" spans="6:56" x14ac:dyDescent="0.25">
      <c r="F306" s="5"/>
      <c r="I306" s="86">
        <v>305</v>
      </c>
      <c r="J306" s="87">
        <v>-0.30696282265767305</v>
      </c>
      <c r="K306" s="87">
        <v>5.0803069950028625</v>
      </c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</row>
    <row r="307" spans="6:56" x14ac:dyDescent="0.25">
      <c r="F307" s="5"/>
      <c r="I307" s="86">
        <v>306</v>
      </c>
      <c r="J307" s="87">
        <v>3.1659910756808953</v>
      </c>
      <c r="K307" s="87">
        <v>7.8533329570513786</v>
      </c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</row>
    <row r="308" spans="6:56" x14ac:dyDescent="0.25">
      <c r="F308" s="5"/>
      <c r="I308" s="86">
        <v>307</v>
      </c>
      <c r="J308" s="87">
        <v>0.57981697536577315</v>
      </c>
      <c r="K308" s="87">
        <v>7.3694318739466427</v>
      </c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</row>
    <row r="309" spans="6:56" x14ac:dyDescent="0.25">
      <c r="F309" s="5"/>
      <c r="I309" s="86">
        <v>308</v>
      </c>
      <c r="J309" s="87">
        <v>1.2625634428736667</v>
      </c>
      <c r="K309" s="87">
        <v>5.8970561029113595</v>
      </c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</row>
    <row r="310" spans="6:56" x14ac:dyDescent="0.25">
      <c r="F310" s="5"/>
      <c r="I310" s="86">
        <v>309</v>
      </c>
      <c r="J310" s="87">
        <v>3.7648041958225011</v>
      </c>
      <c r="K310" s="87">
        <v>6.5515723204836611</v>
      </c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</row>
    <row r="311" spans="6:56" x14ac:dyDescent="0.25">
      <c r="F311" s="5"/>
      <c r="I311" s="86">
        <v>310</v>
      </c>
      <c r="J311" s="87">
        <v>4.854270600224325</v>
      </c>
      <c r="K311" s="87">
        <v>8.6892143156509185</v>
      </c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</row>
    <row r="312" spans="6:56" x14ac:dyDescent="0.25">
      <c r="F312" s="5"/>
      <c r="I312" s="86">
        <v>311</v>
      </c>
      <c r="J312" s="87">
        <v>1.5001628280068191</v>
      </c>
      <c r="K312" s="87">
        <v>6.2373541232879548</v>
      </c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</row>
    <row r="313" spans="6:56" x14ac:dyDescent="0.25">
      <c r="F313" s="5"/>
      <c r="I313" s="86">
        <v>312</v>
      </c>
      <c r="J313" s="87">
        <v>4.0800576858567279</v>
      </c>
      <c r="K313" s="87">
        <v>6.8600703487890549</v>
      </c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</row>
    <row r="314" spans="6:56" x14ac:dyDescent="0.25">
      <c r="F314" s="5"/>
      <c r="I314" s="86">
        <v>313</v>
      </c>
      <c r="J314" s="87">
        <v>1.1940760727068751</v>
      </c>
      <c r="K314" s="87">
        <v>5.6210381313574569</v>
      </c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</row>
    <row r="315" spans="6:56" x14ac:dyDescent="0.25">
      <c r="F315" s="5"/>
      <c r="I315" s="86">
        <v>314</v>
      </c>
      <c r="J315" s="87">
        <v>3.8174279921842871</v>
      </c>
      <c r="K315" s="87">
        <v>7.3734134853524429</v>
      </c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</row>
    <row r="316" spans="6:56" x14ac:dyDescent="0.25">
      <c r="F316" s="5"/>
      <c r="I316" s="86">
        <v>315</v>
      </c>
      <c r="J316" s="87">
        <v>0.46048264711198739</v>
      </c>
      <c r="K316" s="87">
        <v>5.3486866724695385</v>
      </c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</row>
    <row r="317" spans="6:56" x14ac:dyDescent="0.25">
      <c r="F317" s="5"/>
      <c r="I317" s="86">
        <v>316</v>
      </c>
      <c r="J317" s="87">
        <v>3.1509165521988924</v>
      </c>
      <c r="K317" s="87">
        <v>6.3305075290838557</v>
      </c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</row>
    <row r="318" spans="6:56" x14ac:dyDescent="0.25">
      <c r="F318" s="5"/>
      <c r="I318" s="86">
        <v>317</v>
      </c>
      <c r="J318" s="87">
        <v>1.8708851976671701</v>
      </c>
      <c r="K318" s="87">
        <v>5.9763912678801017</v>
      </c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</row>
    <row r="319" spans="6:56" x14ac:dyDescent="0.25">
      <c r="F319" s="5"/>
      <c r="I319" s="86">
        <v>318</v>
      </c>
      <c r="J319" s="87">
        <v>-0.58211092810621956</v>
      </c>
      <c r="K319" s="87">
        <v>6.6145553705728508</v>
      </c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</row>
    <row r="320" spans="6:56" x14ac:dyDescent="0.25">
      <c r="F320" s="5"/>
      <c r="I320" s="86">
        <v>319</v>
      </c>
      <c r="J320" s="87">
        <v>1.3565382428733157</v>
      </c>
      <c r="K320" s="87">
        <v>8.0453829845248119</v>
      </c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</row>
    <row r="321" spans="6:56" x14ac:dyDescent="0.25">
      <c r="F321" s="5"/>
      <c r="I321" s="86">
        <v>320</v>
      </c>
      <c r="J321" s="87">
        <v>5.4539599045212643</v>
      </c>
      <c r="K321" s="87">
        <v>8.949674011862502</v>
      </c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</row>
    <row r="322" spans="6:56" x14ac:dyDescent="0.25">
      <c r="F322" s="5"/>
      <c r="I322" s="86">
        <v>321</v>
      </c>
      <c r="J322" s="87">
        <v>0.66094963034297471</v>
      </c>
      <c r="K322" s="87">
        <v>7.0515522220163636</v>
      </c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</row>
    <row r="323" spans="6:56" x14ac:dyDescent="0.25">
      <c r="F323" s="5"/>
      <c r="I323" s="86">
        <v>322</v>
      </c>
      <c r="J323" s="87">
        <v>2.0363094286747856</v>
      </c>
      <c r="K323" s="87">
        <v>7.1437801192237655</v>
      </c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</row>
    <row r="324" spans="6:56" x14ac:dyDescent="0.25">
      <c r="F324" s="5"/>
      <c r="I324" s="86">
        <v>323</v>
      </c>
      <c r="J324" s="87">
        <v>4.873972989628645</v>
      </c>
      <c r="K324" s="87">
        <v>9.4297078721103329</v>
      </c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</row>
    <row r="325" spans="6:56" x14ac:dyDescent="0.25">
      <c r="F325" s="5"/>
      <c r="I325" s="86">
        <v>324</v>
      </c>
      <c r="J325" s="87">
        <v>2.0714260163549119</v>
      </c>
      <c r="K325" s="87">
        <v>6.935531668883633</v>
      </c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</row>
    <row r="326" spans="6:56" x14ac:dyDescent="0.25">
      <c r="F326" s="5"/>
      <c r="I326" s="86">
        <v>325</v>
      </c>
      <c r="J326" s="87">
        <v>1.5248119631209445</v>
      </c>
      <c r="K326" s="87">
        <v>5.0100631095151158</v>
      </c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</row>
    <row r="327" spans="6:56" x14ac:dyDescent="0.25">
      <c r="F327" s="5"/>
      <c r="I327" s="86">
        <v>326</v>
      </c>
      <c r="J327" s="87">
        <v>13.583721698875809</v>
      </c>
      <c r="K327" s="87">
        <v>13.583966561012174</v>
      </c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</row>
    <row r="328" spans="6:56" x14ac:dyDescent="0.25">
      <c r="F328" s="5"/>
      <c r="I328" s="86">
        <v>327</v>
      </c>
      <c r="J328" s="87">
        <v>-1.1757080202941461</v>
      </c>
      <c r="K328" s="87">
        <v>4.5205267418960506</v>
      </c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</row>
    <row r="329" spans="6:56" x14ac:dyDescent="0.25">
      <c r="F329" s="5"/>
      <c r="I329" s="86">
        <v>328</v>
      </c>
      <c r="J329" s="87">
        <v>5.8773759467623687</v>
      </c>
      <c r="K329" s="87">
        <v>10.907087414262197</v>
      </c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</row>
    <row r="330" spans="6:56" x14ac:dyDescent="0.25">
      <c r="F330" s="5"/>
      <c r="I330" s="86">
        <v>329</v>
      </c>
      <c r="J330" s="87">
        <v>0.73887502640570268</v>
      </c>
      <c r="K330" s="87">
        <v>6.8186749117268723</v>
      </c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</row>
    <row r="331" spans="6:56" x14ac:dyDescent="0.25">
      <c r="F331" s="5"/>
      <c r="I331" s="86">
        <v>330</v>
      </c>
      <c r="J331" s="87">
        <v>1.973814098030382</v>
      </c>
      <c r="K331" s="87">
        <v>7.0255230411536056</v>
      </c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</row>
    <row r="332" spans="6:56" x14ac:dyDescent="0.25">
      <c r="F332" s="5"/>
      <c r="I332" s="86">
        <v>331</v>
      </c>
      <c r="J332" s="87">
        <v>1.4417507748408438</v>
      </c>
      <c r="K332" s="87">
        <v>6.1541035447844648</v>
      </c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</row>
    <row r="333" spans="6:56" x14ac:dyDescent="0.25">
      <c r="F333" s="5"/>
      <c r="I333" s="86">
        <v>332</v>
      </c>
      <c r="J333" s="87">
        <v>3.1772909011434427</v>
      </c>
      <c r="K333" s="87">
        <v>7.5764895685624376</v>
      </c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</row>
    <row r="334" spans="6:56" x14ac:dyDescent="0.25">
      <c r="F334" s="5"/>
      <c r="I334" s="86">
        <v>333</v>
      </c>
      <c r="J334" s="87">
        <v>0.45605643261463769</v>
      </c>
      <c r="K334" s="87">
        <v>6.1386364677478911</v>
      </c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</row>
    <row r="335" spans="6:56" x14ac:dyDescent="0.25">
      <c r="F335" s="5"/>
      <c r="I335" s="86">
        <v>334</v>
      </c>
      <c r="J335" s="87">
        <v>-0.71513148689272388</v>
      </c>
      <c r="K335" s="87">
        <v>5.4741119241654941</v>
      </c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</row>
    <row r="336" spans="6:56" x14ac:dyDescent="0.25">
      <c r="F336" s="5"/>
      <c r="I336" s="86">
        <v>335</v>
      </c>
      <c r="J336" s="87">
        <v>0.71071554595889097</v>
      </c>
      <c r="K336" s="87">
        <v>6.6821450586647115</v>
      </c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</row>
    <row r="337" spans="6:56" x14ac:dyDescent="0.25">
      <c r="F337" s="5"/>
      <c r="I337" s="86">
        <v>336</v>
      </c>
      <c r="J337" s="87">
        <v>1.5760973040986999</v>
      </c>
      <c r="K337" s="87">
        <v>7.0425414567706124</v>
      </c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</row>
    <row r="338" spans="6:56" x14ac:dyDescent="0.25">
      <c r="F338" s="5"/>
      <c r="I338" s="86">
        <v>337</v>
      </c>
      <c r="J338" s="87">
        <v>3.228191141906386</v>
      </c>
      <c r="K338" s="87">
        <v>8.8136930713048773</v>
      </c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</row>
    <row r="339" spans="6:56" x14ac:dyDescent="0.25">
      <c r="F339" s="5"/>
      <c r="I339" s="86">
        <v>338</v>
      </c>
      <c r="J339" s="87">
        <v>5.9156483830633597</v>
      </c>
      <c r="K339" s="87">
        <v>10.978094720466956</v>
      </c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</row>
    <row r="340" spans="6:56" x14ac:dyDescent="0.25">
      <c r="F340" s="5"/>
      <c r="I340" s="86">
        <v>339</v>
      </c>
      <c r="J340" s="87">
        <v>-0.74011880061112922</v>
      </c>
      <c r="K340" s="87">
        <v>6.4480843524354112</v>
      </c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</row>
    <row r="341" spans="6:56" x14ac:dyDescent="0.25">
      <c r="F341" s="5"/>
      <c r="I341" s="86">
        <v>340</v>
      </c>
      <c r="J341" s="87">
        <v>0.42245557992773497</v>
      </c>
      <c r="K341" s="87">
        <v>4.7948974072819137</v>
      </c>
    </row>
    <row r="342" spans="6:56" x14ac:dyDescent="0.25">
      <c r="F342" s="5"/>
      <c r="I342" s="86">
        <v>341</v>
      </c>
      <c r="J342" s="87">
        <v>1.4379678134800695</v>
      </c>
      <c r="K342" s="87">
        <v>6.2784469738422199</v>
      </c>
    </row>
    <row r="343" spans="6:56" x14ac:dyDescent="0.25">
      <c r="F343" s="5"/>
      <c r="I343" s="86">
        <v>342</v>
      </c>
      <c r="J343" s="87">
        <v>6.7347661931291523</v>
      </c>
      <c r="K343" s="87">
        <v>11.844238127838254</v>
      </c>
    </row>
    <row r="344" spans="6:56" x14ac:dyDescent="0.25">
      <c r="F344" s="5"/>
      <c r="I344" s="86">
        <v>343</v>
      </c>
      <c r="J344" s="87">
        <v>-0.54769991670532026</v>
      </c>
      <c r="K344" s="87">
        <v>6.5919756072790738</v>
      </c>
    </row>
    <row r="345" spans="6:56" x14ac:dyDescent="0.25">
      <c r="F345" s="5"/>
      <c r="I345" s="86">
        <v>344</v>
      </c>
      <c r="J345" s="87">
        <v>2.0896536854545715</v>
      </c>
      <c r="K345" s="87">
        <v>7.4580464820562913</v>
      </c>
    </row>
    <row r="346" spans="6:56" x14ac:dyDescent="0.25">
      <c r="F346" s="5"/>
      <c r="I346" s="86">
        <v>345</v>
      </c>
      <c r="J346" s="87">
        <v>2.6382249846953378</v>
      </c>
      <c r="K346" s="87">
        <v>6.4834222555021492</v>
      </c>
    </row>
    <row r="347" spans="6:56" x14ac:dyDescent="0.25">
      <c r="F347" s="5"/>
      <c r="I347" s="86">
        <v>346</v>
      </c>
      <c r="J347" s="87">
        <v>-0.20510566121846185</v>
      </c>
      <c r="K347" s="87">
        <v>5.9333420270440165</v>
      </c>
    </row>
    <row r="348" spans="6:56" x14ac:dyDescent="0.25">
      <c r="F348" s="5"/>
      <c r="I348" s="86">
        <v>347</v>
      </c>
      <c r="J348" s="87">
        <v>3.7894541464170608</v>
      </c>
      <c r="K348" s="87">
        <v>9.9255511221393586</v>
      </c>
    </row>
    <row r="349" spans="6:56" x14ac:dyDescent="0.25">
      <c r="F349" s="5"/>
      <c r="I349" s="86">
        <v>348</v>
      </c>
      <c r="J349" s="87">
        <v>0.80742507439068589</v>
      </c>
      <c r="K349" s="87">
        <v>7.7665551930124161</v>
      </c>
    </row>
    <row r="350" spans="6:56" x14ac:dyDescent="0.25">
      <c r="F350" s="5"/>
      <c r="I350" s="86">
        <v>349</v>
      </c>
      <c r="J350" s="87">
        <v>1.8948230380953595</v>
      </c>
      <c r="K350" s="87">
        <v>4.6943216958706167</v>
      </c>
    </row>
    <row r="351" spans="6:56" x14ac:dyDescent="0.25">
      <c r="F351" s="5"/>
      <c r="I351" s="86">
        <v>350</v>
      </c>
      <c r="J351" s="87">
        <v>10.511382184658583</v>
      </c>
      <c r="K351" s="87">
        <v>11.45806620799069</v>
      </c>
    </row>
    <row r="352" spans="6:56" x14ac:dyDescent="0.25">
      <c r="F352" s="5"/>
      <c r="I352" s="86">
        <v>351</v>
      </c>
      <c r="J352" s="87">
        <v>4.2602623255874388</v>
      </c>
      <c r="K352" s="87">
        <v>9.2950469717410265</v>
      </c>
    </row>
    <row r="353" spans="6:11" x14ac:dyDescent="0.25">
      <c r="F353" s="5"/>
      <c r="I353" s="86">
        <v>352</v>
      </c>
      <c r="J353" s="87">
        <v>3.3339179097233043</v>
      </c>
      <c r="K353" s="87">
        <v>7.6569392061960739</v>
      </c>
    </row>
    <row r="354" spans="6:11" x14ac:dyDescent="0.25">
      <c r="F354" s="5"/>
      <c r="I354" s="86">
        <v>353</v>
      </c>
      <c r="J354" s="87">
        <v>0.37481364511463333</v>
      </c>
      <c r="K354" s="87">
        <v>6.143600949474715</v>
      </c>
    </row>
    <row r="355" spans="6:11" x14ac:dyDescent="0.25">
      <c r="F355" s="5"/>
      <c r="I355" s="86">
        <v>354</v>
      </c>
      <c r="J355" s="87">
        <v>3.419283090480957</v>
      </c>
      <c r="K355" s="87">
        <v>7.2114542933751435</v>
      </c>
    </row>
    <row r="356" spans="6:11" x14ac:dyDescent="0.25">
      <c r="F356" s="5"/>
      <c r="I356" s="86">
        <v>355</v>
      </c>
      <c r="J356" s="87">
        <v>1.5675049900565874</v>
      </c>
      <c r="K356" s="87">
        <v>6.8009306949054364</v>
      </c>
    </row>
    <row r="357" spans="6:11" x14ac:dyDescent="0.25">
      <c r="F357" s="5"/>
      <c r="I357" s="86">
        <v>356</v>
      </c>
      <c r="J357" s="87">
        <v>3.3964750607315626</v>
      </c>
      <c r="K357" s="87">
        <v>8.3194255131242958</v>
      </c>
    </row>
    <row r="358" spans="6:11" x14ac:dyDescent="0.25">
      <c r="F358" s="5"/>
      <c r="I358" s="86">
        <v>357</v>
      </c>
      <c r="J358" s="87">
        <v>4.637725131273136</v>
      </c>
      <c r="K358" s="87">
        <v>9.115743525072471</v>
      </c>
    </row>
    <row r="359" spans="6:11" x14ac:dyDescent="0.25">
      <c r="F359" s="5"/>
      <c r="I359" s="86">
        <v>358</v>
      </c>
      <c r="J359" s="87">
        <v>0.3948141049658469</v>
      </c>
      <c r="K359" s="87">
        <v>5.334734223219419</v>
      </c>
    </row>
    <row r="360" spans="6:11" x14ac:dyDescent="0.25">
      <c r="F360" s="5"/>
      <c r="I360" s="86">
        <v>359</v>
      </c>
      <c r="J360" s="87">
        <v>0.22359555697736244</v>
      </c>
      <c r="K360" s="87">
        <v>6.035702127122434</v>
      </c>
    </row>
    <row r="361" spans="6:11" x14ac:dyDescent="0.25">
      <c r="F361" s="5"/>
      <c r="I361" s="86">
        <v>360</v>
      </c>
      <c r="J361" s="87">
        <v>3.3993821630795811</v>
      </c>
      <c r="K361" s="87">
        <v>8.6290330919433025</v>
      </c>
    </row>
    <row r="362" spans="6:11" x14ac:dyDescent="0.25">
      <c r="F362" s="5"/>
      <c r="I362" s="86">
        <v>361</v>
      </c>
      <c r="J362" s="87">
        <v>0.76094212583254617</v>
      </c>
      <c r="K362" s="87">
        <v>6.408470137414751</v>
      </c>
    </row>
    <row r="363" spans="6:11" x14ac:dyDescent="0.25">
      <c r="F363" s="5"/>
      <c r="I363" s="86">
        <v>362</v>
      </c>
      <c r="J363" s="87">
        <v>1.2592885012212216</v>
      </c>
      <c r="K363" s="87">
        <v>5.9599387223644769</v>
      </c>
    </row>
    <row r="364" spans="6:11" x14ac:dyDescent="0.25">
      <c r="F364" s="5"/>
      <c r="I364" s="86">
        <v>363</v>
      </c>
      <c r="J364" s="87">
        <v>-1.0936605818632481</v>
      </c>
      <c r="K364" s="87">
        <v>5.7082529877268877</v>
      </c>
    </row>
    <row r="365" spans="6:11" x14ac:dyDescent="0.25">
      <c r="F365" s="5"/>
      <c r="I365" s="86">
        <v>364</v>
      </c>
      <c r="J365" s="87">
        <v>1.6704511543874574</v>
      </c>
      <c r="K365" s="87">
        <v>7.4042184289897595</v>
      </c>
    </row>
    <row r="366" spans="6:11" x14ac:dyDescent="0.25">
      <c r="F366" s="5"/>
      <c r="I366" s="86">
        <v>365</v>
      </c>
      <c r="J366" s="87">
        <v>-1.575763713212095</v>
      </c>
      <c r="K366" s="87">
        <v>5.0301167457010516</v>
      </c>
    </row>
    <row r="367" spans="6:11" x14ac:dyDescent="0.25">
      <c r="F367" s="5"/>
      <c r="I367" s="86">
        <v>366</v>
      </c>
      <c r="J367" s="87">
        <v>-0.26277330981048497</v>
      </c>
      <c r="K367" s="87">
        <v>5.926050754969463</v>
      </c>
    </row>
    <row r="368" spans="6:11" x14ac:dyDescent="0.25">
      <c r="F368" s="5"/>
      <c r="I368" s="86">
        <v>367</v>
      </c>
      <c r="J368" s="87">
        <v>-2.2164729953607565</v>
      </c>
      <c r="K368" s="87">
        <v>4.0386741828914872</v>
      </c>
    </row>
    <row r="369" spans="6:11" x14ac:dyDescent="0.25">
      <c r="F369" s="5"/>
      <c r="I369" s="86">
        <v>368</v>
      </c>
      <c r="J369" s="87">
        <v>2.6103263391389024</v>
      </c>
      <c r="K369" s="87">
        <v>8.3582828915121272</v>
      </c>
    </row>
    <row r="370" spans="6:11" x14ac:dyDescent="0.25">
      <c r="F370" s="5"/>
      <c r="I370" s="86">
        <v>369</v>
      </c>
      <c r="J370" s="87">
        <v>-0.87157923284718208</v>
      </c>
      <c r="K370" s="87">
        <v>4.5211658131069496</v>
      </c>
    </row>
    <row r="371" spans="6:11" x14ac:dyDescent="0.25">
      <c r="F371" s="5"/>
      <c r="I371" s="86">
        <v>370</v>
      </c>
      <c r="J371" s="87">
        <v>6.2304206098870445</v>
      </c>
      <c r="K371" s="87">
        <v>7.1625213279287525</v>
      </c>
    </row>
    <row r="372" spans="6:11" x14ac:dyDescent="0.25">
      <c r="F372" s="5"/>
      <c r="I372" s="86">
        <v>371</v>
      </c>
      <c r="J372" s="87">
        <v>-0.26249013440848135</v>
      </c>
      <c r="K372" s="87">
        <v>4.9870916417354954</v>
      </c>
    </row>
    <row r="373" spans="6:11" x14ac:dyDescent="0.25">
      <c r="F373" s="5"/>
      <c r="I373" s="86">
        <v>372</v>
      </c>
      <c r="J373" s="87">
        <v>-1.0509798213832182</v>
      </c>
      <c r="K373" s="87">
        <v>5.1358266027997228</v>
      </c>
    </row>
    <row r="374" spans="6:11" x14ac:dyDescent="0.25">
      <c r="F374" s="5"/>
      <c r="I374" s="86">
        <v>373</v>
      </c>
      <c r="J374" s="87">
        <v>3.2448718117030158</v>
      </c>
      <c r="K374" s="87">
        <v>7.0665252932424121</v>
      </c>
    </row>
    <row r="375" spans="6:11" x14ac:dyDescent="0.25">
      <c r="F375" s="5"/>
      <c r="I375" s="86">
        <v>374</v>
      </c>
      <c r="J375" s="87">
        <v>4.0509934978522999</v>
      </c>
      <c r="K375" s="87">
        <v>8.9201356980007489</v>
      </c>
    </row>
    <row r="376" spans="6:11" x14ac:dyDescent="0.25">
      <c r="F376" s="5"/>
      <c r="I376" s="86">
        <v>375</v>
      </c>
      <c r="J376" s="87">
        <v>2.1837025889712587</v>
      </c>
      <c r="K376" s="87">
        <v>5.8477341499249658</v>
      </c>
    </row>
    <row r="377" spans="6:11" x14ac:dyDescent="0.25">
      <c r="F377" s="5"/>
      <c r="I377" s="86">
        <v>376</v>
      </c>
      <c r="J377" s="87">
        <v>2.6750380946180297</v>
      </c>
      <c r="K377" s="87">
        <v>7.2136407935915443</v>
      </c>
    </row>
    <row r="378" spans="6:11" x14ac:dyDescent="0.25">
      <c r="F378" s="5"/>
      <c r="I378" s="86">
        <v>377</v>
      </c>
      <c r="J378" s="87">
        <v>1.093405193694299</v>
      </c>
      <c r="K378" s="87">
        <v>5.4372382861821595</v>
      </c>
    </row>
    <row r="379" spans="6:11" x14ac:dyDescent="0.25">
      <c r="F379" s="5"/>
      <c r="I379" s="86">
        <v>378</v>
      </c>
      <c r="J379" s="87">
        <v>2.9547165038517891</v>
      </c>
      <c r="K379" s="87">
        <v>5.8052616557886392</v>
      </c>
    </row>
    <row r="380" spans="6:11" x14ac:dyDescent="0.25">
      <c r="F380" s="5"/>
      <c r="I380" s="86">
        <v>379</v>
      </c>
      <c r="J380" s="87">
        <v>1.8090637350807581</v>
      </c>
      <c r="K380" s="87">
        <v>8.7790677140919584</v>
      </c>
    </row>
    <row r="381" spans="6:11" x14ac:dyDescent="0.25">
      <c r="F381" s="5"/>
      <c r="I381" s="86">
        <v>380</v>
      </c>
      <c r="J381" s="87">
        <v>1.3515789438924397</v>
      </c>
      <c r="K381" s="87">
        <v>7.87910714803186</v>
      </c>
    </row>
    <row r="382" spans="6:11" x14ac:dyDescent="0.25">
      <c r="F382" s="5"/>
      <c r="I382" s="86">
        <v>381</v>
      </c>
      <c r="J382" s="87">
        <v>-0.68108845304252297</v>
      </c>
      <c r="K382" s="87">
        <v>4.5537596852751712</v>
      </c>
    </row>
    <row r="383" spans="6:11" x14ac:dyDescent="0.25">
      <c r="F383" s="5"/>
      <c r="I383" s="86">
        <v>382</v>
      </c>
      <c r="J383" s="87">
        <v>2.0934982286719075</v>
      </c>
      <c r="K383" s="87">
        <v>7.1942826291685567</v>
      </c>
    </row>
    <row r="384" spans="6:11" x14ac:dyDescent="0.25">
      <c r="F384" s="5"/>
      <c r="I384" s="86">
        <v>383</v>
      </c>
      <c r="J384" s="87">
        <v>-0.92394938819704198</v>
      </c>
      <c r="K384" s="87">
        <v>5.0476271641650907</v>
      </c>
    </row>
    <row r="385" spans="6:11" x14ac:dyDescent="0.25">
      <c r="F385" s="5"/>
      <c r="I385" s="86">
        <v>384</v>
      </c>
      <c r="J385" s="87">
        <v>3.5298967746482397</v>
      </c>
      <c r="K385" s="87">
        <v>6.1554479315733168</v>
      </c>
    </row>
    <row r="386" spans="6:11" x14ac:dyDescent="0.25">
      <c r="F386" s="5"/>
      <c r="I386" s="86">
        <v>385</v>
      </c>
      <c r="J386" s="87">
        <v>5.4028573186838695</v>
      </c>
      <c r="K386" s="87">
        <v>10.830083581538135</v>
      </c>
    </row>
    <row r="387" spans="6:11" x14ac:dyDescent="0.25">
      <c r="F387" s="5"/>
      <c r="I387" s="86">
        <v>386</v>
      </c>
      <c r="J387" s="87">
        <v>1.985588385491889</v>
      </c>
      <c r="K387" s="87">
        <v>6.4054154097861256</v>
      </c>
    </row>
    <row r="388" spans="6:11" x14ac:dyDescent="0.25">
      <c r="F388" s="5"/>
      <c r="I388" s="86">
        <v>387</v>
      </c>
      <c r="J388" s="87">
        <v>2.9663322665536915</v>
      </c>
      <c r="K388" s="87">
        <v>7.2670818231684144</v>
      </c>
    </row>
    <row r="389" spans="6:11" x14ac:dyDescent="0.25">
      <c r="F389" s="5"/>
      <c r="I389" s="86">
        <v>388</v>
      </c>
      <c r="J389" s="87">
        <v>9.0134576377611353E-2</v>
      </c>
      <c r="K389" s="87">
        <v>6.6748808231454051</v>
      </c>
    </row>
    <row r="390" spans="6:11" x14ac:dyDescent="0.25">
      <c r="F390" s="5"/>
      <c r="I390" s="86">
        <v>389</v>
      </c>
      <c r="J390" s="87">
        <v>1.9103811935767547</v>
      </c>
      <c r="K390" s="87">
        <v>7.7491271559511556</v>
      </c>
    </row>
    <row r="391" spans="6:11" x14ac:dyDescent="0.25">
      <c r="F391" s="5"/>
      <c r="I391" s="86">
        <v>390</v>
      </c>
      <c r="J391" s="87">
        <v>1.1517877408043633</v>
      </c>
      <c r="K391" s="87">
        <v>7.0256117418451254</v>
      </c>
    </row>
    <row r="392" spans="6:11" x14ac:dyDescent="0.25">
      <c r="F392" s="5"/>
      <c r="I392" s="86">
        <v>391</v>
      </c>
      <c r="J392" s="87">
        <v>0.89875944316355127</v>
      </c>
      <c r="K392" s="87">
        <v>5.6994584054412574</v>
      </c>
    </row>
    <row r="393" spans="6:11" x14ac:dyDescent="0.25">
      <c r="F393" s="5"/>
      <c r="I393" s="86">
        <v>392</v>
      </c>
      <c r="J393" s="87">
        <v>2.5419511647861412</v>
      </c>
      <c r="K393" s="87">
        <v>7.8576860382179197</v>
      </c>
    </row>
    <row r="394" spans="6:11" x14ac:dyDescent="0.25">
      <c r="F394" s="5"/>
      <c r="I394" s="86">
        <v>393</v>
      </c>
      <c r="J394" s="87">
        <v>-0.24564382999733958</v>
      </c>
      <c r="K394" s="87">
        <v>7.3624603083271696</v>
      </c>
    </row>
    <row r="395" spans="6:11" x14ac:dyDescent="0.25">
      <c r="F395" s="5"/>
      <c r="I395" s="86">
        <v>394</v>
      </c>
      <c r="J395" s="87">
        <v>2.4005575154687762</v>
      </c>
      <c r="K395" s="87">
        <v>7.595054673485599</v>
      </c>
    </row>
    <row r="396" spans="6:11" x14ac:dyDescent="0.25">
      <c r="F396" s="5"/>
      <c r="I396" s="86">
        <v>395</v>
      </c>
      <c r="J396" s="87">
        <v>2.7315466796385914</v>
      </c>
      <c r="K396" s="87">
        <v>5.3930014146301186</v>
      </c>
    </row>
    <row r="397" spans="6:11" x14ac:dyDescent="0.25">
      <c r="F397" s="5"/>
      <c r="I397" s="86">
        <v>396</v>
      </c>
      <c r="J397" s="87">
        <v>1.8445996911294387</v>
      </c>
      <c r="K397" s="87">
        <v>8.8737788189767972</v>
      </c>
    </row>
    <row r="398" spans="6:11" x14ac:dyDescent="0.25">
      <c r="F398" s="5"/>
      <c r="I398" s="86">
        <v>397</v>
      </c>
      <c r="J398" s="87">
        <v>-0.11903791355170945</v>
      </c>
      <c r="K398" s="87">
        <v>6.1272520485554374</v>
      </c>
    </row>
    <row r="399" spans="6:11" x14ac:dyDescent="0.25">
      <c r="F399" s="5"/>
      <c r="I399" s="86">
        <v>398</v>
      </c>
      <c r="J399" s="87">
        <v>2.784432315702321</v>
      </c>
      <c r="K399" s="87">
        <v>7.3334249964732861</v>
      </c>
    </row>
    <row r="400" spans="6:11" x14ac:dyDescent="0.25">
      <c r="F400" s="5"/>
      <c r="I400" s="86">
        <v>399</v>
      </c>
      <c r="J400" s="87">
        <v>2.0320090113871965</v>
      </c>
      <c r="K400" s="87">
        <v>6.4092038712348423</v>
      </c>
    </row>
    <row r="401" spans="6:11" x14ac:dyDescent="0.25">
      <c r="F401" s="5"/>
      <c r="I401" s="86">
        <v>400</v>
      </c>
      <c r="J401" s="87">
        <v>-0.78286308996351162</v>
      </c>
      <c r="K401" s="87">
        <v>3.9756149495777469</v>
      </c>
    </row>
    <row r="402" spans="6:11" x14ac:dyDescent="0.25">
      <c r="F402" s="5"/>
      <c r="I402" s="86">
        <v>401</v>
      </c>
      <c r="J402" s="87">
        <v>1.2917197993515712</v>
      </c>
      <c r="K402" s="87">
        <v>7.4761420888998185</v>
      </c>
    </row>
    <row r="403" spans="6:11" x14ac:dyDescent="0.25">
      <c r="F403" s="5"/>
      <c r="I403" s="86">
        <v>402</v>
      </c>
      <c r="J403" s="87">
        <v>2.5398681306243223</v>
      </c>
      <c r="K403" s="87">
        <v>7.0940945422430035</v>
      </c>
    </row>
    <row r="404" spans="6:11" x14ac:dyDescent="0.25">
      <c r="F404" s="5"/>
      <c r="I404" s="86">
        <v>403</v>
      </c>
      <c r="J404" s="87">
        <v>2.4261258354922886</v>
      </c>
      <c r="K404" s="87">
        <v>8.1367302822312393</v>
      </c>
    </row>
    <row r="405" spans="6:11" x14ac:dyDescent="0.25">
      <c r="F405" s="5"/>
      <c r="I405" s="86">
        <v>404</v>
      </c>
      <c r="J405" s="87">
        <v>3.8557960289199569</v>
      </c>
      <c r="K405" s="87">
        <v>7.4474241085202371</v>
      </c>
    </row>
    <row r="406" spans="6:11" x14ac:dyDescent="0.25">
      <c r="F406" s="5"/>
      <c r="I406" s="86">
        <v>405</v>
      </c>
      <c r="J406" s="87">
        <v>5.1414958793046193</v>
      </c>
      <c r="K406" s="87">
        <v>10.216727292525757</v>
      </c>
    </row>
    <row r="407" spans="6:11" x14ac:dyDescent="0.25">
      <c r="F407" s="5"/>
      <c r="I407" s="86">
        <v>406</v>
      </c>
      <c r="J407" s="87">
        <v>1.0735998059952738</v>
      </c>
      <c r="K407" s="87">
        <v>7.7020755796743989</v>
      </c>
    </row>
    <row r="408" spans="6:11" x14ac:dyDescent="0.25">
      <c r="F408" s="5"/>
      <c r="I408" s="86">
        <v>407</v>
      </c>
      <c r="J408" s="87">
        <v>2.236364567953542</v>
      </c>
      <c r="K408" s="87">
        <v>9.750592049640245</v>
      </c>
    </row>
    <row r="409" spans="6:11" x14ac:dyDescent="0.25">
      <c r="F409" s="5"/>
      <c r="I409" s="86">
        <v>408</v>
      </c>
      <c r="J409" s="87">
        <v>4.2130382696231985</v>
      </c>
      <c r="K409" s="87">
        <v>8.501866270976052</v>
      </c>
    </row>
    <row r="410" spans="6:11" x14ac:dyDescent="0.25">
      <c r="F410" s="5"/>
      <c r="I410" s="86">
        <v>409</v>
      </c>
      <c r="J410" s="87">
        <v>0.20151744057560084</v>
      </c>
      <c r="K410" s="87">
        <v>5.9742021372969401</v>
      </c>
    </row>
    <row r="411" spans="6:11" x14ac:dyDescent="0.25">
      <c r="F411" s="5"/>
      <c r="I411" s="86">
        <v>410</v>
      </c>
      <c r="J411" s="87">
        <v>0.88819024556413861</v>
      </c>
      <c r="K411" s="87">
        <v>6.3038957956876205</v>
      </c>
    </row>
    <row r="412" spans="6:11" x14ac:dyDescent="0.25">
      <c r="F412" s="5"/>
      <c r="I412" s="86">
        <v>411</v>
      </c>
      <c r="J412" s="87">
        <v>0.25288849664558466</v>
      </c>
      <c r="K412" s="87">
        <v>6.3185446123234881</v>
      </c>
    </row>
    <row r="413" spans="6:11" x14ac:dyDescent="0.25">
      <c r="F413" s="5"/>
      <c r="I413" s="86">
        <v>412</v>
      </c>
      <c r="J413" s="87">
        <v>2.0577262233771121</v>
      </c>
      <c r="K413" s="87">
        <v>8.2787084364990502</v>
      </c>
    </row>
    <row r="414" spans="6:11" x14ac:dyDescent="0.25">
      <c r="F414" s="5"/>
      <c r="I414" s="86">
        <v>413</v>
      </c>
      <c r="J414" s="87">
        <v>1.0457525146571216</v>
      </c>
      <c r="K414" s="87">
        <v>5.1704842072679087</v>
      </c>
    </row>
    <row r="415" spans="6:11" x14ac:dyDescent="0.25">
      <c r="F415" s="5"/>
      <c r="I415" s="86">
        <v>414</v>
      </c>
      <c r="J415" s="87">
        <v>1.3800698461584657</v>
      </c>
      <c r="K415" s="87">
        <v>5.6332056007144313</v>
      </c>
    </row>
    <row r="416" spans="6:11" x14ac:dyDescent="0.25">
      <c r="F416" s="5"/>
      <c r="I416" s="86">
        <v>415</v>
      </c>
      <c r="J416" s="87">
        <v>3.3799128460014884</v>
      </c>
      <c r="K416" s="87">
        <v>8.9840230610344207</v>
      </c>
    </row>
    <row r="417" spans="6:11" x14ac:dyDescent="0.25">
      <c r="F417" s="5"/>
      <c r="I417" s="86">
        <v>416</v>
      </c>
      <c r="J417" s="87">
        <v>1.231265635517266</v>
      </c>
      <c r="K417" s="87">
        <v>7.7983045046288542</v>
      </c>
    </row>
    <row r="418" spans="6:11" x14ac:dyDescent="0.25">
      <c r="F418" s="5"/>
      <c r="I418" s="86">
        <v>417</v>
      </c>
      <c r="J418" s="87">
        <v>-0.35501905475836892</v>
      </c>
      <c r="K418" s="87">
        <v>5.5715237171007912</v>
      </c>
    </row>
    <row r="419" spans="6:11" x14ac:dyDescent="0.25">
      <c r="F419" s="5"/>
      <c r="I419" s="86">
        <v>418</v>
      </c>
      <c r="J419" s="87">
        <v>1.9414190440590344</v>
      </c>
      <c r="K419" s="87">
        <v>8.1967842301986558</v>
      </c>
    </row>
    <row r="420" spans="6:11" x14ac:dyDescent="0.25">
      <c r="F420" s="5"/>
      <c r="I420" s="86">
        <v>419</v>
      </c>
      <c r="J420" s="87">
        <v>8.6166910263834104</v>
      </c>
      <c r="K420" s="87">
        <v>12.302672620056578</v>
      </c>
    </row>
    <row r="421" spans="6:11" x14ac:dyDescent="0.25">
      <c r="F421" s="5"/>
      <c r="I421" s="86">
        <v>420</v>
      </c>
      <c r="J421" s="87">
        <v>2.2606941225028017</v>
      </c>
      <c r="K421" s="87">
        <v>6.9544172150025725</v>
      </c>
    </row>
    <row r="422" spans="6:11" x14ac:dyDescent="0.25">
      <c r="F422" s="5"/>
      <c r="I422" s="86">
        <v>421</v>
      </c>
      <c r="J422" s="87">
        <v>1.1158653943056107</v>
      </c>
      <c r="K422" s="87">
        <v>5.1492668380100604</v>
      </c>
    </row>
    <row r="423" spans="6:11" x14ac:dyDescent="0.25">
      <c r="F423" s="5"/>
      <c r="I423" s="86">
        <v>422</v>
      </c>
      <c r="J423" s="87">
        <v>-0.86934609003540508</v>
      </c>
      <c r="K423" s="87">
        <v>6.3583810390906033</v>
      </c>
    </row>
    <row r="424" spans="6:11" x14ac:dyDescent="0.25">
      <c r="F424" s="5"/>
      <c r="I424" s="86">
        <v>423</v>
      </c>
      <c r="J424" s="87">
        <v>0.53135038566633153</v>
      </c>
      <c r="K424" s="87">
        <v>7.5113345412259811</v>
      </c>
    </row>
    <row r="425" spans="6:11" x14ac:dyDescent="0.25">
      <c r="F425" s="5"/>
      <c r="I425" s="86">
        <v>424</v>
      </c>
      <c r="J425" s="87">
        <v>0.31245112483629001</v>
      </c>
      <c r="K425" s="87">
        <v>7.1553889921203835</v>
      </c>
    </row>
    <row r="426" spans="6:11" x14ac:dyDescent="0.25">
      <c r="F426" s="5"/>
      <c r="I426" s="86">
        <v>425</v>
      </c>
      <c r="J426" s="87">
        <v>1.9230092129409959</v>
      </c>
      <c r="K426" s="87">
        <v>6.9213215371039754</v>
      </c>
    </row>
    <row r="427" spans="6:11" x14ac:dyDescent="0.25">
      <c r="F427" s="5"/>
      <c r="I427" s="86">
        <v>426</v>
      </c>
      <c r="J427" s="87">
        <v>-0.4702159213296504</v>
      </c>
      <c r="K427" s="87">
        <v>5.117566536689421</v>
      </c>
    </row>
    <row r="428" spans="6:11" x14ac:dyDescent="0.25">
      <c r="F428" s="5"/>
      <c r="I428" s="86">
        <v>427</v>
      </c>
      <c r="J428" s="87">
        <v>0.28885765346494363</v>
      </c>
      <c r="K428" s="87">
        <v>6.3745998599354925</v>
      </c>
    </row>
    <row r="429" spans="6:11" x14ac:dyDescent="0.25">
      <c r="F429" s="5"/>
      <c r="I429" s="86">
        <v>428</v>
      </c>
      <c r="J429" s="87">
        <v>1.4902208801166905</v>
      </c>
      <c r="K429" s="87">
        <v>5.8926164613764431</v>
      </c>
    </row>
    <row r="430" spans="6:11" x14ac:dyDescent="0.25">
      <c r="F430" s="5"/>
      <c r="I430" s="86">
        <v>429</v>
      </c>
      <c r="J430" s="87">
        <v>1.9042590099290786</v>
      </c>
      <c r="K430" s="87">
        <v>6.0677799649655988</v>
      </c>
    </row>
    <row r="431" spans="6:11" x14ac:dyDescent="0.25">
      <c r="F431" s="5"/>
      <c r="I431" s="86">
        <v>430</v>
      </c>
      <c r="J431" s="87">
        <v>2.9092052608482195</v>
      </c>
      <c r="K431" s="87">
        <v>8.7959800571727058</v>
      </c>
    </row>
    <row r="432" spans="6:11" x14ac:dyDescent="0.25">
      <c r="F432" s="5"/>
      <c r="I432" s="86">
        <v>431</v>
      </c>
      <c r="J432" s="87">
        <v>1.7730170474211242</v>
      </c>
      <c r="K432" s="87">
        <v>9.1688323298942773</v>
      </c>
    </row>
    <row r="433" spans="6:11" x14ac:dyDescent="0.25">
      <c r="F433" s="5"/>
      <c r="I433" s="86">
        <v>432</v>
      </c>
      <c r="J433" s="87">
        <v>2.4182884752109262</v>
      </c>
      <c r="K433" s="87">
        <v>9.775032182888296</v>
      </c>
    </row>
    <row r="434" spans="6:11" x14ac:dyDescent="0.25">
      <c r="F434" s="5"/>
      <c r="I434" s="86">
        <v>433</v>
      </c>
      <c r="J434" s="87">
        <v>1.5557327216421468</v>
      </c>
      <c r="K434" s="87">
        <v>6.2543340596773485</v>
      </c>
    </row>
    <row r="435" spans="6:11" x14ac:dyDescent="0.25">
      <c r="F435" s="5"/>
      <c r="I435" s="86">
        <v>434</v>
      </c>
      <c r="J435" s="87">
        <v>1.4879087180417354</v>
      </c>
      <c r="K435" s="87">
        <v>6.4859252208458456</v>
      </c>
    </row>
    <row r="436" spans="6:11" x14ac:dyDescent="0.25">
      <c r="F436" s="5"/>
      <c r="I436" s="86">
        <v>435</v>
      </c>
      <c r="J436" s="87">
        <v>1.733341437978738</v>
      </c>
      <c r="K436" s="87">
        <v>7.5936809594449208</v>
      </c>
    </row>
    <row r="437" spans="6:11" x14ac:dyDescent="0.25">
      <c r="F437" s="5"/>
      <c r="I437" s="86">
        <v>436</v>
      </c>
      <c r="J437" s="87">
        <v>0.60624860987795515</v>
      </c>
      <c r="K437" s="87">
        <v>5.5115976940564391</v>
      </c>
    </row>
    <row r="438" spans="6:11" x14ac:dyDescent="0.25">
      <c r="F438" s="5"/>
      <c r="I438" s="86">
        <v>437</v>
      </c>
      <c r="J438" s="87">
        <v>2.2263209283475511</v>
      </c>
      <c r="K438" s="87">
        <v>6.8993131914323973</v>
      </c>
    </row>
    <row r="439" spans="6:11" x14ac:dyDescent="0.25">
      <c r="F439" s="5"/>
      <c r="I439" s="86">
        <v>438</v>
      </c>
      <c r="J439" s="87">
        <v>-1.0343833124835911</v>
      </c>
      <c r="K439" s="87">
        <v>4.2461371577352711</v>
      </c>
    </row>
    <row r="440" spans="6:11" x14ac:dyDescent="0.25">
      <c r="F440" s="5"/>
      <c r="I440" s="86">
        <v>439</v>
      </c>
      <c r="J440" s="87">
        <v>1.1200009361447414</v>
      </c>
      <c r="K440" s="87">
        <v>7.3625572803038235</v>
      </c>
    </row>
    <row r="441" spans="6:11" x14ac:dyDescent="0.25">
      <c r="F441" s="5"/>
      <c r="I441" s="86">
        <v>440</v>
      </c>
      <c r="J441" s="87">
        <v>0.8676109559319789</v>
      </c>
      <c r="K441" s="87">
        <v>6.0344627157831985</v>
      </c>
    </row>
    <row r="442" spans="6:11" x14ac:dyDescent="0.25">
      <c r="F442" s="5"/>
      <c r="I442" s="86">
        <v>441</v>
      </c>
      <c r="J442" s="87">
        <v>1.7369818556487013</v>
      </c>
      <c r="K442" s="87">
        <v>7.2950996105251606</v>
      </c>
    </row>
    <row r="443" spans="6:11" x14ac:dyDescent="0.25">
      <c r="F443" s="5"/>
      <c r="I443" s="86">
        <v>442</v>
      </c>
      <c r="J443" s="87">
        <v>2.1480802993489272</v>
      </c>
      <c r="K443" s="87">
        <v>7.6348996899802746</v>
      </c>
    </row>
    <row r="444" spans="6:11" x14ac:dyDescent="0.25">
      <c r="F444" s="5"/>
      <c r="I444" s="86">
        <v>443</v>
      </c>
      <c r="J444" s="87">
        <v>-0.71682267295849833</v>
      </c>
      <c r="K444" s="87">
        <v>6.1683814008433604</v>
      </c>
    </row>
    <row r="445" spans="6:11" x14ac:dyDescent="0.25">
      <c r="F445" s="5"/>
      <c r="I445" s="86">
        <v>444</v>
      </c>
      <c r="J445" s="87">
        <v>1.9331560004795723</v>
      </c>
      <c r="K445" s="87">
        <v>5.8860913971877045</v>
      </c>
    </row>
    <row r="446" spans="6:11" x14ac:dyDescent="0.25">
      <c r="F446" s="5"/>
      <c r="I446" s="86">
        <v>445</v>
      </c>
      <c r="J446" s="87">
        <v>-0.89290188240613144</v>
      </c>
      <c r="K446" s="87">
        <v>6.6159764798929306</v>
      </c>
    </row>
    <row r="447" spans="6:11" x14ac:dyDescent="0.25">
      <c r="F447" s="5"/>
      <c r="I447" s="86">
        <v>446</v>
      </c>
      <c r="J447" s="87">
        <v>2.8480487643125141</v>
      </c>
      <c r="K447" s="87">
        <v>7.2870193119868487</v>
      </c>
    </row>
    <row r="448" spans="6:11" x14ac:dyDescent="0.25">
      <c r="F448" s="5"/>
      <c r="I448" s="86">
        <v>447</v>
      </c>
      <c r="J448" s="87">
        <v>0.17654345017619022</v>
      </c>
      <c r="K448" s="87">
        <v>6.2397469938712575</v>
      </c>
    </row>
    <row r="449" spans="6:11" x14ac:dyDescent="0.25">
      <c r="F449" s="5"/>
      <c r="I449" s="86">
        <v>448</v>
      </c>
      <c r="J449" s="87">
        <v>3.2347296494287745</v>
      </c>
      <c r="K449" s="87">
        <v>9.8337849175015783</v>
      </c>
    </row>
    <row r="450" spans="6:11" x14ac:dyDescent="0.25">
      <c r="F450" s="5"/>
      <c r="I450" s="86">
        <v>449</v>
      </c>
      <c r="J450" s="87">
        <v>4.8686998047511283</v>
      </c>
      <c r="K450" s="87">
        <v>7.5510259374198014</v>
      </c>
    </row>
    <row r="451" spans="6:11" x14ac:dyDescent="0.25">
      <c r="F451" s="5"/>
      <c r="I451" s="86">
        <v>450</v>
      </c>
      <c r="J451" s="87">
        <v>1.9290594733661921</v>
      </c>
      <c r="K451" s="87">
        <v>6.5260611903854713</v>
      </c>
    </row>
    <row r="452" spans="6:11" x14ac:dyDescent="0.25">
      <c r="F452" s="5"/>
      <c r="I452" s="86">
        <v>451</v>
      </c>
      <c r="J452" s="87">
        <v>2.0986021035498874</v>
      </c>
      <c r="K452" s="87">
        <v>7.0213636853810755</v>
      </c>
    </row>
    <row r="453" spans="6:11" x14ac:dyDescent="0.25">
      <c r="F453" s="5"/>
      <c r="I453" s="86">
        <v>452</v>
      </c>
      <c r="J453" s="87">
        <v>1.7621092459178165</v>
      </c>
      <c r="K453" s="87">
        <v>7.1979677533385029</v>
      </c>
    </row>
    <row r="454" spans="6:11" x14ac:dyDescent="0.25">
      <c r="F454" s="5"/>
      <c r="I454" s="86">
        <v>453</v>
      </c>
      <c r="J454" s="87">
        <v>1.9508477543554612</v>
      </c>
      <c r="K454" s="87">
        <v>6.1133751443968549</v>
      </c>
    </row>
    <row r="455" spans="6:11" x14ac:dyDescent="0.25">
      <c r="F455" s="5"/>
      <c r="I455" s="86">
        <v>454</v>
      </c>
      <c r="J455" s="87">
        <v>1.7041857766384929</v>
      </c>
      <c r="K455" s="87">
        <v>6.5339770816236964</v>
      </c>
    </row>
    <row r="456" spans="6:11" x14ac:dyDescent="0.25">
      <c r="F456" s="5"/>
      <c r="I456" s="86">
        <v>455</v>
      </c>
      <c r="J456" s="87">
        <v>1.1547365972039456</v>
      </c>
      <c r="K456" s="87">
        <v>6.0005319987708914</v>
      </c>
    </row>
    <row r="457" spans="6:11" x14ac:dyDescent="0.25">
      <c r="F457" s="5"/>
      <c r="I457" s="86">
        <v>456</v>
      </c>
      <c r="J457" s="87">
        <v>4.8667029445135039</v>
      </c>
      <c r="K457" s="87">
        <v>6.6749395313284783</v>
      </c>
    </row>
    <row r="458" spans="6:11" x14ac:dyDescent="0.25">
      <c r="F458" s="5"/>
      <c r="I458" s="86">
        <v>457</v>
      </c>
      <c r="J458" s="87">
        <v>3.1137451494280621</v>
      </c>
      <c r="K458" s="87">
        <v>5.6136029121171456</v>
      </c>
    </row>
    <row r="459" spans="6:11" x14ac:dyDescent="0.25">
      <c r="F459" s="5"/>
      <c r="I459" s="86">
        <v>458</v>
      </c>
      <c r="J459" s="87">
        <v>0.6121934066334811</v>
      </c>
      <c r="K459" s="87">
        <v>5.9987250910593231</v>
      </c>
    </row>
    <row r="460" spans="6:11" x14ac:dyDescent="0.25">
      <c r="F460" s="5"/>
      <c r="I460" s="86">
        <v>459</v>
      </c>
      <c r="J460" s="87">
        <v>-2.3161136630873078</v>
      </c>
      <c r="K460" s="87">
        <v>4.6916825328784322</v>
      </c>
    </row>
    <row r="461" spans="6:11" x14ac:dyDescent="0.25">
      <c r="F461" s="5"/>
      <c r="I461" s="86">
        <v>460</v>
      </c>
      <c r="J461" s="87">
        <v>-0.65298297308638542</v>
      </c>
      <c r="K461" s="87">
        <v>5.3778566901693319</v>
      </c>
    </row>
    <row r="462" spans="6:11" x14ac:dyDescent="0.25">
      <c r="F462" s="5"/>
      <c r="I462" s="86">
        <v>461</v>
      </c>
      <c r="J462" s="87">
        <v>2.5768638751948885</v>
      </c>
      <c r="K462" s="87">
        <v>6.0096423327083013</v>
      </c>
    </row>
    <row r="463" spans="6:11" x14ac:dyDescent="0.25">
      <c r="F463" s="5"/>
      <c r="I463" s="86">
        <v>462</v>
      </c>
      <c r="J463" s="87">
        <v>8.7360013326296393E-2</v>
      </c>
      <c r="K463" s="87">
        <v>4.6850770862860935</v>
      </c>
    </row>
    <row r="464" spans="6:11" x14ac:dyDescent="0.25">
      <c r="F464" s="5"/>
      <c r="I464" s="86">
        <v>463</v>
      </c>
      <c r="J464" s="87">
        <v>-0.55017460646018179</v>
      </c>
      <c r="K464" s="87">
        <v>5.7318790438302392</v>
      </c>
    </row>
    <row r="465" spans="6:11" x14ac:dyDescent="0.25">
      <c r="F465" s="5"/>
      <c r="I465" s="86">
        <v>464</v>
      </c>
      <c r="J465" s="87">
        <v>2.1404443676295779</v>
      </c>
      <c r="K465" s="87">
        <v>6.6171932146406354</v>
      </c>
    </row>
    <row r="466" spans="6:11" x14ac:dyDescent="0.25">
      <c r="F466" s="5"/>
      <c r="I466" s="86">
        <v>465</v>
      </c>
      <c r="J466" s="87">
        <v>0.57493880809050513</v>
      </c>
      <c r="K466" s="87">
        <v>6.9187740565171145</v>
      </c>
    </row>
    <row r="467" spans="6:11" x14ac:dyDescent="0.25">
      <c r="F467" s="5"/>
      <c r="I467" s="86">
        <v>466</v>
      </c>
      <c r="J467" s="87">
        <v>0.47947558012512648</v>
      </c>
      <c r="K467" s="87">
        <v>6.3845578867661077</v>
      </c>
    </row>
    <row r="468" spans="6:11" x14ac:dyDescent="0.25">
      <c r="F468" s="5"/>
      <c r="I468" s="86">
        <v>467</v>
      </c>
      <c r="J468" s="87">
        <v>-0.93552596605614502</v>
      </c>
      <c r="K468" s="87">
        <v>4.6087413583729413</v>
      </c>
    </row>
    <row r="469" spans="6:11" x14ac:dyDescent="0.25">
      <c r="F469" s="5"/>
      <c r="I469" s="86">
        <v>468</v>
      </c>
      <c r="J469" s="87">
        <v>1.6998405505850185</v>
      </c>
      <c r="K469" s="87">
        <v>5.9517226955850315</v>
      </c>
    </row>
    <row r="470" spans="6:11" x14ac:dyDescent="0.25">
      <c r="F470" s="5"/>
      <c r="I470" s="86">
        <v>469</v>
      </c>
      <c r="J470" s="87">
        <v>3.072383839491593</v>
      </c>
      <c r="K470" s="87">
        <v>7.7465760422532712</v>
      </c>
    </row>
    <row r="471" spans="6:11" x14ac:dyDescent="0.25">
      <c r="F471" s="5"/>
      <c r="I471" s="86">
        <v>470</v>
      </c>
      <c r="J471" s="87">
        <v>3.4901785718735017</v>
      </c>
      <c r="K471" s="87">
        <v>6.9693047542966085</v>
      </c>
    </row>
    <row r="472" spans="6:11" x14ac:dyDescent="0.25">
      <c r="F472" s="5"/>
      <c r="I472" s="86">
        <v>471</v>
      </c>
      <c r="J472" s="87">
        <v>9.1249829828807307</v>
      </c>
      <c r="K472" s="87">
        <v>10.615639624860712</v>
      </c>
    </row>
    <row r="473" spans="6:11" x14ac:dyDescent="0.25">
      <c r="F473" s="5"/>
      <c r="I473" s="86">
        <v>472</v>
      </c>
      <c r="J473" s="87">
        <v>2.8895401829657752</v>
      </c>
      <c r="K473" s="87">
        <v>8.7341955518322294</v>
      </c>
    </row>
    <row r="474" spans="6:11" x14ac:dyDescent="0.25">
      <c r="F474" s="5"/>
      <c r="I474" s="86">
        <v>473</v>
      </c>
      <c r="J474" s="87">
        <v>8.0069433808202639</v>
      </c>
      <c r="K474" s="87">
        <v>10.114905747362551</v>
      </c>
    </row>
    <row r="475" spans="6:11" x14ac:dyDescent="0.25">
      <c r="F475" s="5"/>
      <c r="I475" s="86">
        <v>474</v>
      </c>
      <c r="J475" s="87">
        <v>2.2719852281868169</v>
      </c>
      <c r="K475" s="87">
        <v>6.9426003480539169</v>
      </c>
    </row>
    <row r="476" spans="6:11" x14ac:dyDescent="0.25">
      <c r="F476" s="5"/>
      <c r="I476" s="86">
        <v>475</v>
      </c>
      <c r="J476" s="87">
        <v>1.9129812414897032</v>
      </c>
      <c r="K476" s="87">
        <v>6.345069712634535</v>
      </c>
    </row>
    <row r="477" spans="6:11" x14ac:dyDescent="0.25">
      <c r="F477" s="5"/>
      <c r="I477" s="86">
        <v>476</v>
      </c>
      <c r="J477" s="87">
        <v>1.7057517515891734</v>
      </c>
      <c r="K477" s="87">
        <v>7.076629163472318</v>
      </c>
    </row>
    <row r="478" spans="6:11" x14ac:dyDescent="0.25">
      <c r="F478" s="5"/>
      <c r="I478" s="86">
        <v>477</v>
      </c>
      <c r="J478" s="87">
        <v>2.5033918762253879</v>
      </c>
      <c r="K478" s="87">
        <v>9.1337157587839251</v>
      </c>
    </row>
    <row r="479" spans="6:11" x14ac:dyDescent="0.25">
      <c r="F479" s="5"/>
      <c r="I479" s="86">
        <v>478</v>
      </c>
      <c r="J479" s="87">
        <v>2.0154429593809704</v>
      </c>
      <c r="K479" s="87">
        <v>5.9039813410417414</v>
      </c>
    </row>
    <row r="480" spans="6:11" x14ac:dyDescent="0.25">
      <c r="F480" s="5"/>
      <c r="I480" s="86">
        <v>479</v>
      </c>
      <c r="J480" s="87">
        <v>2.1156026360862166</v>
      </c>
      <c r="K480" s="87">
        <v>6.0579799606929603</v>
      </c>
    </row>
    <row r="481" spans="6:11" x14ac:dyDescent="0.25">
      <c r="F481" s="5"/>
      <c r="I481" s="86">
        <v>480</v>
      </c>
      <c r="J481" s="87">
        <v>0.78093586588392672</v>
      </c>
      <c r="K481" s="87">
        <v>5.8353559967381896</v>
      </c>
    </row>
    <row r="482" spans="6:11" x14ac:dyDescent="0.25">
      <c r="F482" s="5"/>
      <c r="I482" s="86">
        <v>481</v>
      </c>
      <c r="J482" s="87">
        <v>11.012992307574169</v>
      </c>
      <c r="K482" s="87">
        <v>9.8433745526599257</v>
      </c>
    </row>
    <row r="483" spans="6:11" x14ac:dyDescent="0.25">
      <c r="F483" s="5"/>
      <c r="I483" s="86">
        <v>482</v>
      </c>
      <c r="J483" s="87">
        <v>4.0864467775447899</v>
      </c>
      <c r="K483" s="87">
        <v>7.0000476485799856</v>
      </c>
    </row>
    <row r="484" spans="6:11" x14ac:dyDescent="0.25">
      <c r="F484" s="5"/>
      <c r="I484" s="86">
        <v>483</v>
      </c>
      <c r="J484" s="87">
        <v>1.9981514525145148</v>
      </c>
      <c r="K484" s="87">
        <v>9.2929268414873061</v>
      </c>
    </row>
    <row r="485" spans="6:11" x14ac:dyDescent="0.25">
      <c r="F485" s="5"/>
      <c r="I485" s="86">
        <v>484</v>
      </c>
      <c r="J485" s="87">
        <v>4.0104926623116812</v>
      </c>
      <c r="K485" s="87">
        <v>4.3136082591519225</v>
      </c>
    </row>
    <row r="486" spans="6:11" x14ac:dyDescent="0.25">
      <c r="F486" s="5"/>
      <c r="I486" s="86">
        <v>485</v>
      </c>
      <c r="J486" s="87">
        <v>1.5407144682799938</v>
      </c>
      <c r="K486" s="87">
        <v>6.2259807604447222</v>
      </c>
    </row>
    <row r="487" spans="6:11" x14ac:dyDescent="0.25">
      <c r="F487" s="5"/>
      <c r="I487" s="86">
        <v>486</v>
      </c>
      <c r="J487" s="87">
        <v>3.9330436540137805</v>
      </c>
      <c r="K487" s="87">
        <v>7.6177931986678908</v>
      </c>
    </row>
    <row r="488" spans="6:11" x14ac:dyDescent="0.25">
      <c r="F488" s="5"/>
      <c r="I488" s="86">
        <v>487</v>
      </c>
      <c r="J488" s="87">
        <v>1.9936288727327804</v>
      </c>
      <c r="K488" s="87">
        <v>9.1666010191729441</v>
      </c>
    </row>
    <row r="489" spans="6:11" x14ac:dyDescent="0.25">
      <c r="F489" s="5"/>
      <c r="I489" s="86">
        <v>488</v>
      </c>
      <c r="J489" s="87">
        <v>4.2403093637829148</v>
      </c>
      <c r="K489" s="87">
        <v>9.5219826712177635</v>
      </c>
    </row>
    <row r="490" spans="6:11" x14ac:dyDescent="0.25">
      <c r="F490" s="5"/>
      <c r="I490" s="86">
        <v>489</v>
      </c>
      <c r="J490" s="87">
        <v>1.6506974623032606</v>
      </c>
      <c r="K490" s="87">
        <v>7.3141493204534438</v>
      </c>
    </row>
    <row r="491" spans="6:11" x14ac:dyDescent="0.25">
      <c r="F491" s="5"/>
      <c r="I491" s="86">
        <v>490</v>
      </c>
      <c r="J491" s="87">
        <v>2.6888959157705656</v>
      </c>
      <c r="K491" s="87">
        <v>8.1028620730542222</v>
      </c>
    </row>
    <row r="492" spans="6:11" x14ac:dyDescent="0.25">
      <c r="F492" s="5"/>
      <c r="I492" s="86">
        <v>491</v>
      </c>
      <c r="J492" s="87">
        <v>0.7696645050928792</v>
      </c>
      <c r="K492" s="87">
        <v>5.8968953230510071</v>
      </c>
    </row>
    <row r="493" spans="6:11" x14ac:dyDescent="0.25">
      <c r="F493" s="5"/>
      <c r="I493" s="86">
        <v>492</v>
      </c>
      <c r="J493" s="87">
        <v>-0.34303813044328546</v>
      </c>
      <c r="K493" s="87">
        <v>5.7059690241452152</v>
      </c>
    </row>
    <row r="494" spans="6:11" x14ac:dyDescent="0.25">
      <c r="F494" s="5"/>
      <c r="I494" s="86">
        <v>493</v>
      </c>
      <c r="J494" s="87">
        <v>0.875494783477341</v>
      </c>
      <c r="K494" s="87">
        <v>4.6765127215099316</v>
      </c>
    </row>
    <row r="495" spans="6:11" x14ac:dyDescent="0.25">
      <c r="F495" s="5"/>
      <c r="I495" s="86">
        <v>494</v>
      </c>
      <c r="J495" s="87">
        <v>1.8158909525902986</v>
      </c>
      <c r="K495" s="87">
        <v>6.0442810994475389</v>
      </c>
    </row>
    <row r="496" spans="6:11" x14ac:dyDescent="0.25">
      <c r="F496" s="5"/>
      <c r="I496" s="86">
        <v>495</v>
      </c>
      <c r="J496" s="87">
        <v>2.3735090940150294</v>
      </c>
      <c r="K496" s="87">
        <v>5.7731221750017587</v>
      </c>
    </row>
    <row r="497" spans="6:11" x14ac:dyDescent="0.25">
      <c r="F497" s="5"/>
      <c r="I497" s="86">
        <v>496</v>
      </c>
      <c r="J497" s="87">
        <v>3.0947140309765953</v>
      </c>
      <c r="K497" s="87">
        <v>6.8688106149402612</v>
      </c>
    </row>
    <row r="498" spans="6:11" x14ac:dyDescent="0.25">
      <c r="F498" s="5"/>
      <c r="I498" s="86">
        <v>497</v>
      </c>
      <c r="J498" s="87">
        <v>2.6157041168330739</v>
      </c>
      <c r="K498" s="87">
        <v>7.1564891862104014</v>
      </c>
    </row>
    <row r="499" spans="6:11" x14ac:dyDescent="0.25">
      <c r="F499" s="5"/>
      <c r="I499" s="86">
        <v>498</v>
      </c>
      <c r="J499" s="87">
        <v>8.8015296224373376</v>
      </c>
      <c r="K499" s="87">
        <v>11.034617688678246</v>
      </c>
    </row>
    <row r="500" spans="6:11" x14ac:dyDescent="0.25">
      <c r="F500" s="5"/>
      <c r="I500" s="86">
        <v>499</v>
      </c>
      <c r="J500" s="87">
        <v>-2.0027277884420474</v>
      </c>
      <c r="K500" s="87">
        <v>3.7836227163691034</v>
      </c>
    </row>
    <row r="501" spans="6:11" x14ac:dyDescent="0.25">
      <c r="F501" s="5"/>
      <c r="I501" s="86">
        <v>500</v>
      </c>
      <c r="J501" s="87">
        <v>6.5300004667561868</v>
      </c>
      <c r="K501" s="87">
        <v>8.52114416976152</v>
      </c>
    </row>
    <row r="502" spans="6:11" x14ac:dyDescent="0.25">
      <c r="F502" s="5"/>
      <c r="I502" s="86">
        <v>501</v>
      </c>
      <c r="J502" s="87">
        <v>5.5916615401015495</v>
      </c>
      <c r="K502" s="87">
        <v>9.6559726472504401</v>
      </c>
    </row>
    <row r="503" spans="6:11" x14ac:dyDescent="0.25">
      <c r="F503" s="5"/>
      <c r="I503" s="86">
        <v>502</v>
      </c>
      <c r="J503" s="87">
        <v>0.76356644492285408</v>
      </c>
      <c r="K503" s="87">
        <v>6.3468411559295133</v>
      </c>
    </row>
    <row r="504" spans="6:11" x14ac:dyDescent="0.25">
      <c r="F504" s="5"/>
      <c r="I504" s="86">
        <v>503</v>
      </c>
      <c r="J504" s="87">
        <v>-0.8573864963427944</v>
      </c>
      <c r="K504" s="87">
        <v>5.1059477564834292</v>
      </c>
    </row>
    <row r="505" spans="6:11" x14ac:dyDescent="0.25">
      <c r="F505" s="5"/>
      <c r="I505" s="86">
        <v>504</v>
      </c>
      <c r="J505" s="87">
        <v>2.1120135659091686</v>
      </c>
      <c r="K505" s="87">
        <v>5.9559282431126706</v>
      </c>
    </row>
    <row r="506" spans="6:11" x14ac:dyDescent="0.25">
      <c r="F506" s="5"/>
      <c r="I506" s="86">
        <v>505</v>
      </c>
      <c r="J506" s="87">
        <v>-0.49862850422311933</v>
      </c>
      <c r="K506" s="87">
        <v>3.5421650211790707</v>
      </c>
    </row>
    <row r="507" spans="6:11" x14ac:dyDescent="0.25">
      <c r="F507" s="5"/>
      <c r="I507" s="86">
        <v>506</v>
      </c>
      <c r="J507" s="87">
        <v>0.24112839601548286</v>
      </c>
      <c r="K507" s="87">
        <v>4.9568236208868397</v>
      </c>
    </row>
    <row r="508" spans="6:11" x14ac:dyDescent="0.25">
      <c r="F508" s="5"/>
      <c r="I508" s="86">
        <v>507</v>
      </c>
      <c r="J508" s="87">
        <v>0.29448720941639195</v>
      </c>
      <c r="K508" s="87">
        <v>5.436556192325102</v>
      </c>
    </row>
    <row r="509" spans="6:11" x14ac:dyDescent="0.25">
      <c r="F509" s="5"/>
      <c r="I509" s="86">
        <v>508</v>
      </c>
      <c r="J509" s="87">
        <v>0.80231384727232058</v>
      </c>
      <c r="K509" s="87">
        <v>4.8743421614137157</v>
      </c>
    </row>
    <row r="510" spans="6:11" x14ac:dyDescent="0.25">
      <c r="F510" s="5"/>
      <c r="I510" s="86">
        <v>509</v>
      </c>
      <c r="J510" s="87">
        <v>-0.85387046692816737</v>
      </c>
      <c r="K510" s="87">
        <v>4.6253881193016984</v>
      </c>
    </row>
    <row r="511" spans="6:11" x14ac:dyDescent="0.25">
      <c r="F511" s="5"/>
      <c r="I511" s="86">
        <v>510</v>
      </c>
      <c r="J511" s="87">
        <v>-1.3457011545091726</v>
      </c>
      <c r="K511" s="87">
        <v>4.9327269016024227</v>
      </c>
    </row>
    <row r="512" spans="6:11" x14ac:dyDescent="0.25">
      <c r="F512" s="5"/>
      <c r="I512" s="86">
        <v>511</v>
      </c>
      <c r="J512" s="87">
        <v>7.5351266658589822E-3</v>
      </c>
      <c r="K512" s="87">
        <v>5.3284274861009324</v>
      </c>
    </row>
    <row r="513" spans="6:11" x14ac:dyDescent="0.25">
      <c r="F513" s="5"/>
      <c r="I513" s="86">
        <v>512</v>
      </c>
      <c r="J513" s="87">
        <v>1.4549844477430547</v>
      </c>
      <c r="K513" s="87">
        <v>7.3711422849652788</v>
      </c>
    </row>
    <row r="514" spans="6:11" x14ac:dyDescent="0.25">
      <c r="F514" s="5"/>
      <c r="I514" s="86">
        <v>513</v>
      </c>
      <c r="J514" s="87">
        <v>-0.91103453175093652</v>
      </c>
      <c r="K514" s="87">
        <v>6.42872212518101</v>
      </c>
    </row>
    <row r="515" spans="6:11" x14ac:dyDescent="0.25">
      <c r="F515" s="5"/>
      <c r="I515" s="86">
        <v>514</v>
      </c>
      <c r="J515" s="87">
        <v>0.61346510667385479</v>
      </c>
      <c r="K515" s="87">
        <v>4.8089052377319002</v>
      </c>
    </row>
    <row r="516" spans="6:11" x14ac:dyDescent="0.25">
      <c r="F516" s="5"/>
      <c r="I516" s="86">
        <v>515</v>
      </c>
      <c r="J516" s="87">
        <v>0.1478983594754002</v>
      </c>
      <c r="K516" s="87">
        <v>7.7388631833069779</v>
      </c>
    </row>
    <row r="517" spans="6:11" x14ac:dyDescent="0.25">
      <c r="F517" s="5"/>
      <c r="I517" s="86">
        <v>516</v>
      </c>
      <c r="J517" s="87">
        <v>0.3591341559494845</v>
      </c>
      <c r="K517" s="87">
        <v>5.5358168939070982</v>
      </c>
    </row>
    <row r="518" spans="6:11" x14ac:dyDescent="0.25">
      <c r="F518" s="5"/>
      <c r="I518" s="86">
        <v>517</v>
      </c>
      <c r="J518" s="87">
        <v>1.3177382786412055</v>
      </c>
      <c r="K518" s="87">
        <v>6.551306653846571</v>
      </c>
    </row>
    <row r="519" spans="6:11" x14ac:dyDescent="0.25">
      <c r="F519" s="5"/>
      <c r="I519" s="86">
        <v>518</v>
      </c>
      <c r="J519" s="87">
        <v>2.1756264819847426</v>
      </c>
      <c r="K519" s="87">
        <v>5.4067999702224698</v>
      </c>
    </row>
    <row r="520" spans="6:11" x14ac:dyDescent="0.25">
      <c r="F520" s="5"/>
      <c r="I520" s="86">
        <v>519</v>
      </c>
      <c r="J520" s="87">
        <v>3.7539199539316144</v>
      </c>
      <c r="K520" s="87">
        <v>10.667485956376607</v>
      </c>
    </row>
    <row r="521" spans="6:11" x14ac:dyDescent="0.25">
      <c r="F521" s="5"/>
      <c r="I521" s="86">
        <v>520</v>
      </c>
      <c r="J521" s="87">
        <v>0.44327748057634597</v>
      </c>
      <c r="K521" s="87">
        <v>6.0425804150863067</v>
      </c>
    </row>
    <row r="522" spans="6:11" x14ac:dyDescent="0.25">
      <c r="F522" s="5"/>
      <c r="I522" s="86">
        <v>521</v>
      </c>
      <c r="J522" s="87">
        <v>-0.79341466619891143</v>
      </c>
      <c r="K522" s="87">
        <v>6.0613290588900393</v>
      </c>
    </row>
    <row r="523" spans="6:11" x14ac:dyDescent="0.25">
      <c r="F523" s="5"/>
      <c r="I523" s="86">
        <v>522</v>
      </c>
      <c r="J523" s="87">
        <v>1.7874137473548855</v>
      </c>
      <c r="K523" s="87">
        <v>8.3883158467963526</v>
      </c>
    </row>
    <row r="524" spans="6:11" x14ac:dyDescent="0.25">
      <c r="F524" s="5"/>
      <c r="I524" s="86">
        <v>523</v>
      </c>
      <c r="J524" s="87">
        <v>-0.63304809427567621</v>
      </c>
      <c r="K524" s="87">
        <v>4.5615206198159708</v>
      </c>
    </row>
    <row r="525" spans="6:11" x14ac:dyDescent="0.25">
      <c r="F525" s="5"/>
      <c r="I525" s="86">
        <v>524</v>
      </c>
      <c r="J525" s="87">
        <v>1.0635667385522094</v>
      </c>
      <c r="K525" s="87">
        <v>5.9617643083900838</v>
      </c>
    </row>
    <row r="526" spans="6:11" x14ac:dyDescent="0.25">
      <c r="F526" s="5"/>
      <c r="I526" s="86">
        <v>525</v>
      </c>
      <c r="J526" s="87">
        <v>2.876473590377759</v>
      </c>
      <c r="K526" s="87">
        <v>7.0471816435981696</v>
      </c>
    </row>
    <row r="527" spans="6:11" x14ac:dyDescent="0.25">
      <c r="F527" s="5"/>
      <c r="I527" s="86">
        <v>526</v>
      </c>
      <c r="J527" s="87">
        <v>3.2150150152152515</v>
      </c>
      <c r="K527" s="87">
        <v>8.2892894292084591</v>
      </c>
    </row>
    <row r="528" spans="6:11" x14ac:dyDescent="0.25">
      <c r="F528" s="5"/>
      <c r="I528" s="86">
        <v>527</v>
      </c>
      <c r="J528" s="87">
        <v>1.3288345248386344</v>
      </c>
      <c r="K528" s="87">
        <v>6.9875861331078806</v>
      </c>
    </row>
    <row r="529" spans="6:11" x14ac:dyDescent="0.25">
      <c r="F529" s="5"/>
      <c r="I529" s="86">
        <v>528</v>
      </c>
      <c r="J529" s="87">
        <v>0.6609921554557241</v>
      </c>
      <c r="K529" s="87">
        <v>5.9466152337985552</v>
      </c>
    </row>
    <row r="530" spans="6:11" x14ac:dyDescent="0.25">
      <c r="F530" s="5"/>
      <c r="I530" s="86">
        <v>529</v>
      </c>
      <c r="J530" s="87">
        <v>-1.7884220047644268</v>
      </c>
      <c r="K530" s="87">
        <v>5.8550506073598596</v>
      </c>
    </row>
    <row r="531" spans="6:11" x14ac:dyDescent="0.25">
      <c r="F531" s="5"/>
      <c r="I531" s="86">
        <v>530</v>
      </c>
      <c r="J531" s="87">
        <v>-0.75671351709138523</v>
      </c>
      <c r="K531" s="87">
        <v>6.080240784952279</v>
      </c>
    </row>
    <row r="532" spans="6:11" x14ac:dyDescent="0.25">
      <c r="F532" s="5"/>
      <c r="I532" s="86">
        <v>531</v>
      </c>
      <c r="J532" s="87">
        <v>-0.75678586162539396</v>
      </c>
      <c r="K532" s="87">
        <v>5.7515902275067861</v>
      </c>
    </row>
    <row r="533" spans="6:11" x14ac:dyDescent="0.25">
      <c r="F533" s="5"/>
      <c r="I533" s="86">
        <v>532</v>
      </c>
      <c r="J533" s="87">
        <v>1.9606432339415321</v>
      </c>
      <c r="K533" s="87">
        <v>6.8580810033261139</v>
      </c>
    </row>
    <row r="534" spans="6:11" x14ac:dyDescent="0.25">
      <c r="F534" s="5"/>
      <c r="I534" s="86">
        <v>533</v>
      </c>
      <c r="J534" s="87">
        <v>4.4662597150181442</v>
      </c>
      <c r="K534" s="87">
        <v>8.5917354503937897</v>
      </c>
    </row>
    <row r="535" spans="6:11" x14ac:dyDescent="0.25">
      <c r="F535" s="5"/>
      <c r="I535" s="86">
        <v>534</v>
      </c>
      <c r="J535" s="87">
        <v>-0.75854554224608783</v>
      </c>
      <c r="K535" s="87">
        <v>5.7105183445778094</v>
      </c>
    </row>
    <row r="536" spans="6:11" x14ac:dyDescent="0.25">
      <c r="F536" s="5"/>
      <c r="I536" s="86">
        <v>535</v>
      </c>
      <c r="J536" s="87">
        <v>-1.0260431130350094</v>
      </c>
      <c r="K536" s="87">
        <v>5.9805714457377182</v>
      </c>
    </row>
    <row r="537" spans="6:11" x14ac:dyDescent="0.25">
      <c r="F537" s="5"/>
      <c r="I537" s="86">
        <v>536</v>
      </c>
      <c r="J537" s="87">
        <v>0.98745395826513427</v>
      </c>
      <c r="K537" s="87">
        <v>6.6289880313571539</v>
      </c>
    </row>
    <row r="538" spans="6:11" x14ac:dyDescent="0.25">
      <c r="F538" s="5"/>
      <c r="I538" s="86">
        <v>537</v>
      </c>
      <c r="J538" s="87">
        <v>2.1001670642792254</v>
      </c>
      <c r="K538" s="87">
        <v>6.6742357022934851</v>
      </c>
    </row>
    <row r="539" spans="6:11" x14ac:dyDescent="0.25">
      <c r="F539" s="5"/>
      <c r="I539" s="86">
        <v>538</v>
      </c>
      <c r="J539" s="87">
        <v>4.8397056351944663</v>
      </c>
      <c r="K539" s="87">
        <v>8.0807362866627432</v>
      </c>
    </row>
    <row r="540" spans="6:11" x14ac:dyDescent="0.25">
      <c r="F540" s="5"/>
      <c r="I540" s="86">
        <v>539</v>
      </c>
      <c r="J540" s="87">
        <v>1.393466535075305E-2</v>
      </c>
      <c r="K540" s="87">
        <v>4.9002927100864211</v>
      </c>
    </row>
    <row r="541" spans="6:11" x14ac:dyDescent="0.25">
      <c r="F541" s="5"/>
      <c r="I541" s="86">
        <v>540</v>
      </c>
      <c r="J541" s="87">
        <v>4.1560218502104362</v>
      </c>
      <c r="K541" s="87">
        <v>7.3810504310422136</v>
      </c>
    </row>
    <row r="542" spans="6:11" x14ac:dyDescent="0.25">
      <c r="F542" s="5"/>
      <c r="I542" s="86">
        <v>541</v>
      </c>
      <c r="J542" s="87">
        <v>0.55873116186436711</v>
      </c>
      <c r="K542" s="87">
        <v>6.3866511073204739</v>
      </c>
    </row>
    <row r="543" spans="6:11" x14ac:dyDescent="0.25">
      <c r="F543" s="5"/>
      <c r="I543" s="86">
        <v>542</v>
      </c>
      <c r="J543" s="87">
        <v>5.6218070313341251</v>
      </c>
      <c r="K543" s="87">
        <v>11.099985448649226</v>
      </c>
    </row>
    <row r="544" spans="6:11" x14ac:dyDescent="0.25">
      <c r="I544" s="86">
        <v>543</v>
      </c>
      <c r="J544" s="87">
        <v>0.40198418007496795</v>
      </c>
      <c r="K544" s="87">
        <v>5.9586432339335724</v>
      </c>
    </row>
    <row r="545" spans="9:11" x14ac:dyDescent="0.25">
      <c r="I545" s="86">
        <v>544</v>
      </c>
      <c r="J545" s="87">
        <v>-0.72169879869983422</v>
      </c>
      <c r="K545" s="87">
        <v>5.0908133695092914</v>
      </c>
    </row>
    <row r="546" spans="9:11" x14ac:dyDescent="0.25">
      <c r="I546" s="86">
        <v>545</v>
      </c>
      <c r="J546" s="87">
        <v>1.6034946809145474</v>
      </c>
      <c r="K546" s="87">
        <v>7.2387951283282739</v>
      </c>
    </row>
    <row r="547" spans="9:11" x14ac:dyDescent="0.25">
      <c r="I547" s="86">
        <v>546</v>
      </c>
      <c r="J547" s="87">
        <v>1.2812670298622209E-2</v>
      </c>
      <c r="K547" s="87">
        <v>5.206118923190207</v>
      </c>
    </row>
    <row r="548" spans="9:11" x14ac:dyDescent="0.25">
      <c r="I548" s="86">
        <v>547</v>
      </c>
      <c r="J548" s="87">
        <v>-0.95635732664982642</v>
      </c>
      <c r="K548" s="87">
        <v>4.8030887191328864</v>
      </c>
    </row>
    <row r="549" spans="9:11" x14ac:dyDescent="0.25">
      <c r="I549" s="86">
        <v>548</v>
      </c>
      <c r="J549" s="87">
        <v>0.70734194781984172</v>
      </c>
      <c r="K549" s="87">
        <v>6.9530912071225339</v>
      </c>
    </row>
    <row r="550" spans="9:11" x14ac:dyDescent="0.25">
      <c r="I550" s="86">
        <v>549</v>
      </c>
      <c r="J550" s="87">
        <v>0.86450929431016021</v>
      </c>
      <c r="K550" s="87">
        <v>7.432992177989072</v>
      </c>
    </row>
    <row r="551" spans="9:11" x14ac:dyDescent="0.25">
      <c r="I551" s="86">
        <v>550</v>
      </c>
      <c r="J551" s="87">
        <v>0.98221159602752639</v>
      </c>
      <c r="K551" s="87">
        <v>6.2430613164343791</v>
      </c>
    </row>
    <row r="552" spans="9:11" x14ac:dyDescent="0.25">
      <c r="I552" s="86">
        <v>551</v>
      </c>
      <c r="J552" s="87">
        <v>-0.72982784185103178</v>
      </c>
      <c r="K552" s="87">
        <v>6.0362304747662305</v>
      </c>
    </row>
    <row r="553" spans="9:11" x14ac:dyDescent="0.25">
      <c r="I553" s="86">
        <v>552</v>
      </c>
      <c r="J553" s="87">
        <v>1.7796590766544682</v>
      </c>
      <c r="K553" s="87">
        <v>7.4984260932104529</v>
      </c>
    </row>
    <row r="554" spans="9:11" x14ac:dyDescent="0.25">
      <c r="I554" s="86">
        <v>553</v>
      </c>
      <c r="J554" s="87">
        <v>0.64705413508700715</v>
      </c>
      <c r="K554" s="87">
        <v>6.2395553130691415</v>
      </c>
    </row>
    <row r="555" spans="9:11" x14ac:dyDescent="0.25">
      <c r="I555" s="86">
        <v>554</v>
      </c>
      <c r="J555" s="87">
        <v>2.9784816864859494</v>
      </c>
      <c r="K555" s="87">
        <v>10.31157186671814</v>
      </c>
    </row>
    <row r="556" spans="9:11" x14ac:dyDescent="0.25">
      <c r="I556" s="86">
        <v>555</v>
      </c>
      <c r="J556" s="87">
        <v>1.8890589733773115</v>
      </c>
      <c r="K556" s="87">
        <v>6.0045678355067862</v>
      </c>
    </row>
    <row r="557" spans="9:11" x14ac:dyDescent="0.25">
      <c r="I557" s="86">
        <v>556</v>
      </c>
      <c r="J557" s="87">
        <v>0.15554343560896555</v>
      </c>
      <c r="K557" s="87">
        <v>7.3304509193114429</v>
      </c>
    </row>
    <row r="558" spans="9:11" x14ac:dyDescent="0.25">
      <c r="I558" s="86">
        <v>557</v>
      </c>
      <c r="J558" s="87">
        <v>2.2622590666363163</v>
      </c>
      <c r="K558" s="87">
        <v>5.1271724170020994</v>
      </c>
    </row>
    <row r="559" spans="9:11" x14ac:dyDescent="0.25">
      <c r="I559" s="86">
        <v>558</v>
      </c>
      <c r="J559" s="87">
        <v>1.8628702575385221</v>
      </c>
      <c r="K559" s="87">
        <v>9.3000506392778135</v>
      </c>
    </row>
    <row r="560" spans="9:11" x14ac:dyDescent="0.25">
      <c r="I560" s="86">
        <v>559</v>
      </c>
      <c r="J560" s="87">
        <v>3.1043259400539354</v>
      </c>
      <c r="K560" s="87">
        <v>7.5493976414868218</v>
      </c>
    </row>
    <row r="561" spans="9:11" x14ac:dyDescent="0.25">
      <c r="I561" s="86">
        <v>560</v>
      </c>
      <c r="J561" s="87">
        <v>4.4076024065671557</v>
      </c>
      <c r="K561" s="87">
        <v>8.0715788072344878</v>
      </c>
    </row>
    <row r="562" spans="9:11" x14ac:dyDescent="0.25">
      <c r="I562" s="86">
        <v>561</v>
      </c>
      <c r="J562" s="87">
        <v>2.6240023651024682</v>
      </c>
      <c r="K562" s="87">
        <v>8.9230908508589035</v>
      </c>
    </row>
    <row r="563" spans="9:11" x14ac:dyDescent="0.25">
      <c r="I563" s="86">
        <v>562</v>
      </c>
      <c r="J563" s="87">
        <v>9.9635326429726661</v>
      </c>
      <c r="K563" s="87">
        <v>11.876555713038794</v>
      </c>
    </row>
    <row r="564" spans="9:11" x14ac:dyDescent="0.25">
      <c r="I564" s="86">
        <v>563</v>
      </c>
      <c r="J564" s="87">
        <v>3.4438822320262563</v>
      </c>
      <c r="K564" s="87">
        <v>8.4903400395305351</v>
      </c>
    </row>
    <row r="565" spans="9:11" x14ac:dyDescent="0.25">
      <c r="I565" s="86">
        <v>564</v>
      </c>
      <c r="J565" s="87">
        <v>-0.65032964576390295</v>
      </c>
      <c r="K565" s="87">
        <v>5.8350199706317785</v>
      </c>
    </row>
    <row r="566" spans="9:11" x14ac:dyDescent="0.25">
      <c r="I566" s="86">
        <v>565</v>
      </c>
      <c r="J566" s="87">
        <v>-1.1244050670723178</v>
      </c>
      <c r="K566" s="87">
        <v>6.0277265808768865</v>
      </c>
    </row>
    <row r="567" spans="9:11" x14ac:dyDescent="0.25">
      <c r="I567" s="86">
        <v>566</v>
      </c>
      <c r="J567" s="87">
        <v>8.5478945420405008</v>
      </c>
      <c r="K567" s="87">
        <v>10.779786639646847</v>
      </c>
    </row>
    <row r="568" spans="9:11" x14ac:dyDescent="0.25">
      <c r="I568" s="86">
        <v>567</v>
      </c>
      <c r="J568" s="87">
        <v>1.2299956835622279</v>
      </c>
      <c r="K568" s="87">
        <v>8.5740294404627697</v>
      </c>
    </row>
    <row r="569" spans="9:11" x14ac:dyDescent="0.25">
      <c r="I569" s="86">
        <v>568</v>
      </c>
      <c r="J569" s="87">
        <v>4.1355079103546206</v>
      </c>
      <c r="K569" s="87">
        <v>6.7625819965340845</v>
      </c>
    </row>
    <row r="570" spans="9:11" x14ac:dyDescent="0.25">
      <c r="I570" s="86">
        <v>569</v>
      </c>
      <c r="J570" s="87">
        <v>0.83784045886787784</v>
      </c>
      <c r="K570" s="87">
        <v>6.5706202845695216</v>
      </c>
    </row>
    <row r="571" spans="9:11" x14ac:dyDescent="0.25">
      <c r="I571" s="86">
        <v>570</v>
      </c>
      <c r="J571" s="87">
        <v>9.5610481872517497</v>
      </c>
      <c r="K571" s="87">
        <v>13.738140213765732</v>
      </c>
    </row>
    <row r="572" spans="9:11" x14ac:dyDescent="0.25">
      <c r="I572" s="86">
        <v>571</v>
      </c>
      <c r="J572" s="87">
        <v>1.7676499839952049</v>
      </c>
      <c r="K572" s="87">
        <v>8.5165858066404638</v>
      </c>
    </row>
    <row r="573" spans="9:11" x14ac:dyDescent="0.25">
      <c r="I573" s="86">
        <v>572</v>
      </c>
      <c r="J573" s="87">
        <v>1.7379768908285609</v>
      </c>
      <c r="K573" s="87">
        <v>6.296853946077464</v>
      </c>
    </row>
    <row r="574" spans="9:11" x14ac:dyDescent="0.25">
      <c r="I574" s="86">
        <v>573</v>
      </c>
      <c r="J574" s="87">
        <v>1.5695114298312136</v>
      </c>
      <c r="K574" s="87">
        <v>6.9143994896848842</v>
      </c>
    </row>
    <row r="575" spans="9:11" x14ac:dyDescent="0.25">
      <c r="I575" s="86">
        <v>574</v>
      </c>
      <c r="J575" s="87">
        <v>1.4550354875852536</v>
      </c>
      <c r="K575" s="87">
        <v>7.590338591066998</v>
      </c>
    </row>
    <row r="576" spans="9:11" x14ac:dyDescent="0.25">
      <c r="I576" s="86">
        <v>575</v>
      </c>
      <c r="J576" s="87">
        <v>8.9297583204608255</v>
      </c>
      <c r="K576" s="87">
        <v>8.6914785814638744</v>
      </c>
    </row>
    <row r="577" spans="9:11" x14ac:dyDescent="0.25">
      <c r="I577" s="86">
        <v>576</v>
      </c>
      <c r="J577" s="87">
        <v>1.467091875586541</v>
      </c>
      <c r="K577" s="87">
        <v>8.0042878962436248</v>
      </c>
    </row>
    <row r="578" spans="9:11" x14ac:dyDescent="0.25">
      <c r="I578" s="86">
        <v>577</v>
      </c>
      <c r="J578" s="87">
        <v>0.6629739879988632</v>
      </c>
      <c r="K578" s="87">
        <v>6.1147319104597768</v>
      </c>
    </row>
    <row r="579" spans="9:11" x14ac:dyDescent="0.25">
      <c r="I579" s="86">
        <v>578</v>
      </c>
      <c r="J579" s="87">
        <v>2.7654707699258196</v>
      </c>
      <c r="K579" s="87">
        <v>7.4500356794363967</v>
      </c>
    </row>
    <row r="580" spans="9:11" x14ac:dyDescent="0.25">
      <c r="I580" s="86">
        <v>579</v>
      </c>
      <c r="J580" s="87">
        <v>2.5315661007212009</v>
      </c>
      <c r="K580" s="87">
        <v>6.9932248894617555</v>
      </c>
    </row>
    <row r="581" spans="9:11" x14ac:dyDescent="0.25">
      <c r="I581" s="86">
        <v>580</v>
      </c>
      <c r="J581" s="87">
        <v>-0.5826330400287123</v>
      </c>
      <c r="K581" s="87">
        <v>6.2729037515645443</v>
      </c>
    </row>
    <row r="582" spans="9:11" x14ac:dyDescent="0.25">
      <c r="I582" s="86">
        <v>581</v>
      </c>
      <c r="J582" s="87">
        <v>1.1699529558263224</v>
      </c>
      <c r="K582" s="87">
        <v>7.0566959180798241</v>
      </c>
    </row>
    <row r="583" spans="9:11" x14ac:dyDescent="0.25">
      <c r="I583" s="86">
        <v>582</v>
      </c>
      <c r="J583" s="87">
        <v>0.25966128628595619</v>
      </c>
      <c r="K583" s="87">
        <v>5.568661321422244</v>
      </c>
    </row>
    <row r="584" spans="9:11" x14ac:dyDescent="0.25">
      <c r="I584" s="86">
        <v>583</v>
      </c>
      <c r="J584" s="87">
        <v>0.6256645298871284</v>
      </c>
      <c r="K584" s="87">
        <v>5.7225295438939563</v>
      </c>
    </row>
    <row r="585" spans="9:11" x14ac:dyDescent="0.25">
      <c r="I585" s="86">
        <v>584</v>
      </c>
      <c r="J585" s="87">
        <v>1.3520648610083814</v>
      </c>
      <c r="K585" s="87">
        <v>6.4245255728733568</v>
      </c>
    </row>
    <row r="586" spans="9:11" x14ac:dyDescent="0.25">
      <c r="I586" s="86">
        <v>585</v>
      </c>
      <c r="J586" s="87">
        <v>3.7516370797978071</v>
      </c>
      <c r="K586" s="87">
        <v>9.6484231100151003</v>
      </c>
    </row>
    <row r="587" spans="9:11" x14ac:dyDescent="0.25">
      <c r="I587" s="86">
        <v>586</v>
      </c>
      <c r="J587" s="87">
        <v>3.6306528882531115</v>
      </c>
      <c r="K587" s="87">
        <v>7.8476992231650877</v>
      </c>
    </row>
    <row r="588" spans="9:11" x14ac:dyDescent="0.25">
      <c r="I588" s="86">
        <v>587</v>
      </c>
      <c r="J588" s="87">
        <v>0.72143370166921361</v>
      </c>
      <c r="K588" s="87">
        <v>7.5166407496685519</v>
      </c>
    </row>
    <row r="589" spans="9:11" x14ac:dyDescent="0.25">
      <c r="I589" s="86">
        <v>588</v>
      </c>
      <c r="J589" s="87">
        <v>5.72686351362659E-2</v>
      </c>
      <c r="K589" s="87">
        <v>5.3700280662214075</v>
      </c>
    </row>
    <row r="590" spans="9:11" x14ac:dyDescent="0.25">
      <c r="I590" s="86">
        <v>589</v>
      </c>
      <c r="J590" s="87">
        <v>2.4584570912720096</v>
      </c>
      <c r="K590" s="87">
        <v>9.0734136139574968</v>
      </c>
    </row>
    <row r="591" spans="9:11" x14ac:dyDescent="0.25">
      <c r="I591" s="86">
        <v>590</v>
      </c>
      <c r="J591" s="87">
        <v>3.8059431269297992</v>
      </c>
      <c r="K591" s="87">
        <v>9.370478565594512</v>
      </c>
    </row>
    <row r="592" spans="9:11" x14ac:dyDescent="0.25">
      <c r="I592" s="86">
        <v>591</v>
      </c>
      <c r="J592" s="87">
        <v>1.476689306803336</v>
      </c>
      <c r="K592" s="87">
        <v>6.8248918078093066</v>
      </c>
    </row>
    <row r="593" spans="9:11" x14ac:dyDescent="0.25">
      <c r="I593" s="86">
        <v>592</v>
      </c>
      <c r="J593" s="87">
        <v>-1.0959915253700538</v>
      </c>
      <c r="K593" s="87">
        <v>5.4622647705316272</v>
      </c>
    </row>
    <row r="594" spans="9:11" x14ac:dyDescent="0.25">
      <c r="I594" s="86">
        <v>593</v>
      </c>
      <c r="J594" s="87">
        <v>0.70530030227258589</v>
      </c>
      <c r="K594" s="87">
        <v>6.7183179005182536</v>
      </c>
    </row>
    <row r="595" spans="9:11" x14ac:dyDescent="0.25">
      <c r="I595" s="86">
        <v>594</v>
      </c>
      <c r="J595" s="87">
        <v>3.1318370919334608</v>
      </c>
      <c r="K595" s="87">
        <v>7.8787636456526089</v>
      </c>
    </row>
    <row r="596" spans="9:11" x14ac:dyDescent="0.25">
      <c r="I596" s="86">
        <v>595</v>
      </c>
      <c r="J596" s="87">
        <v>4.4791511818245313</v>
      </c>
      <c r="K596" s="87">
        <v>8.7483835436187416</v>
      </c>
    </row>
    <row r="597" spans="9:11" x14ac:dyDescent="0.25">
      <c r="I597" s="86">
        <v>596</v>
      </c>
      <c r="J597" s="87">
        <v>1.3763056360089161</v>
      </c>
      <c r="K597" s="87">
        <v>8.0615830540395716</v>
      </c>
    </row>
    <row r="598" spans="9:11" x14ac:dyDescent="0.25">
      <c r="I598" s="86">
        <v>597</v>
      </c>
      <c r="J598" s="87">
        <v>2.4893083544275747</v>
      </c>
      <c r="K598" s="87">
        <v>10.288920309587549</v>
      </c>
    </row>
    <row r="599" spans="9:11" x14ac:dyDescent="0.25">
      <c r="I599" s="86">
        <v>598</v>
      </c>
      <c r="J599" s="87">
        <v>0.25051046768605989</v>
      </c>
      <c r="K599" s="87">
        <v>5.0461957159345454</v>
      </c>
    </row>
    <row r="600" spans="9:11" x14ac:dyDescent="0.25">
      <c r="I600" s="86">
        <v>599</v>
      </c>
      <c r="J600" s="87">
        <v>3.480823920923263</v>
      </c>
      <c r="K600" s="87">
        <v>8.0200719425697393</v>
      </c>
    </row>
    <row r="601" spans="9:11" x14ac:dyDescent="0.25">
      <c r="I601" s="86">
        <v>600</v>
      </c>
      <c r="J601" s="87">
        <v>-0.26343107349370865</v>
      </c>
      <c r="K601" s="87">
        <v>5.0827203566370773</v>
      </c>
    </row>
    <row r="602" spans="9:11" x14ac:dyDescent="0.25">
      <c r="I602" s="86">
        <v>601</v>
      </c>
      <c r="J602" s="87">
        <v>2.066453933384806</v>
      </c>
      <c r="K602" s="87">
        <v>4.7720029239928312</v>
      </c>
    </row>
    <row r="603" spans="9:11" x14ac:dyDescent="0.25">
      <c r="I603" s="86">
        <v>602</v>
      </c>
      <c r="J603" s="87">
        <v>2.7559619876492789</v>
      </c>
      <c r="K603" s="87">
        <v>7.7614876247608287</v>
      </c>
    </row>
    <row r="604" spans="9:11" x14ac:dyDescent="0.25">
      <c r="I604" s="86">
        <v>603</v>
      </c>
      <c r="J604" s="87">
        <v>1.9702379443509717</v>
      </c>
      <c r="K604" s="87">
        <v>6.383119634107004</v>
      </c>
    </row>
    <row r="605" spans="9:11" x14ac:dyDescent="0.25">
      <c r="I605" s="86">
        <v>604</v>
      </c>
      <c r="J605" s="87">
        <v>3.5641951436421007</v>
      </c>
      <c r="K605" s="87">
        <v>8.0079005681257271</v>
      </c>
    </row>
    <row r="606" spans="9:11" x14ac:dyDescent="0.25">
      <c r="I606" s="86">
        <v>605</v>
      </c>
      <c r="J606" s="87">
        <v>2.6249767367166656</v>
      </c>
      <c r="K606" s="87">
        <v>7.369625817921726</v>
      </c>
    </row>
    <row r="607" spans="9:11" x14ac:dyDescent="0.25">
      <c r="I607" s="86">
        <v>606</v>
      </c>
      <c r="J607" s="87">
        <v>1.8884187592311648</v>
      </c>
      <c r="K607" s="87">
        <v>7.6060623571722408</v>
      </c>
    </row>
    <row r="608" spans="9:11" x14ac:dyDescent="0.25">
      <c r="I608" s="86">
        <v>607</v>
      </c>
      <c r="J608" s="87">
        <v>0.62192994525574274</v>
      </c>
      <c r="K608" s="87">
        <v>5.450897210927816</v>
      </c>
    </row>
    <row r="609" spans="9:11" x14ac:dyDescent="0.25">
      <c r="I609" s="86">
        <v>608</v>
      </c>
      <c r="J609" s="87">
        <v>0.34081860452271506</v>
      </c>
      <c r="K609" s="87">
        <v>6.2766244578100903</v>
      </c>
    </row>
    <row r="610" spans="9:11" x14ac:dyDescent="0.25">
      <c r="I610" s="86">
        <v>609</v>
      </c>
      <c r="J610" s="87">
        <v>3.0038884430784645</v>
      </c>
      <c r="K610" s="87">
        <v>7.955519254705921</v>
      </c>
    </row>
    <row r="611" spans="9:11" x14ac:dyDescent="0.25">
      <c r="I611" s="86">
        <v>610</v>
      </c>
      <c r="J611" s="87">
        <v>1.7870253169855292</v>
      </c>
      <c r="K611" s="87">
        <v>7.7825162414445916</v>
      </c>
    </row>
    <row r="612" spans="9:11" x14ac:dyDescent="0.25">
      <c r="I612" s="86">
        <v>611</v>
      </c>
      <c r="J612" s="87">
        <v>1.0116080102169982</v>
      </c>
      <c r="K612" s="87">
        <v>5.6796131912637025</v>
      </c>
    </row>
    <row r="613" spans="9:11" x14ac:dyDescent="0.25">
      <c r="I613" s="86">
        <v>612</v>
      </c>
      <c r="J613" s="87">
        <v>0.80186007687241823</v>
      </c>
      <c r="K613" s="87">
        <v>7.7295392514731551</v>
      </c>
    </row>
    <row r="614" spans="9:11" x14ac:dyDescent="0.25">
      <c r="I614" s="86">
        <v>613</v>
      </c>
      <c r="J614" s="87">
        <v>1.8308022880536088</v>
      </c>
      <c r="K614" s="87">
        <v>8.0197853125329441</v>
      </c>
    </row>
    <row r="615" spans="9:11" x14ac:dyDescent="0.25">
      <c r="I615" s="86">
        <v>614</v>
      </c>
      <c r="J615" s="87">
        <v>3.2567527912296823</v>
      </c>
      <c r="K615" s="87">
        <v>7.5151112519878236</v>
      </c>
    </row>
    <row r="616" spans="9:11" x14ac:dyDescent="0.25">
      <c r="I616" s="86">
        <v>615</v>
      </c>
      <c r="J616" s="87">
        <v>2.279640926137847</v>
      </c>
      <c r="K616" s="87">
        <v>7.7929704376381608</v>
      </c>
    </row>
    <row r="617" spans="9:11" x14ac:dyDescent="0.25">
      <c r="I617" s="86">
        <v>616</v>
      </c>
      <c r="J617" s="87">
        <v>0.78837849579903363</v>
      </c>
      <c r="K617" s="87">
        <v>6.826152684188469</v>
      </c>
    </row>
    <row r="618" spans="9:11" x14ac:dyDescent="0.25">
      <c r="I618" s="86">
        <v>617</v>
      </c>
      <c r="J618" s="87">
        <v>0.35044112458985799</v>
      </c>
      <c r="K618" s="87">
        <v>5.1691600119854693</v>
      </c>
    </row>
    <row r="619" spans="9:11" x14ac:dyDescent="0.25">
      <c r="I619" s="86">
        <v>618</v>
      </c>
      <c r="J619" s="87">
        <v>0.44827417480083742</v>
      </c>
      <c r="K619" s="87">
        <v>6.3500957773950084</v>
      </c>
    </row>
    <row r="620" spans="9:11" x14ac:dyDescent="0.25">
      <c r="I620" s="86">
        <v>619</v>
      </c>
      <c r="J620" s="87">
        <v>0.69858059544869899</v>
      </c>
      <c r="K620" s="87">
        <v>5.3893016556968343</v>
      </c>
    </row>
    <row r="621" spans="9:11" x14ac:dyDescent="0.25">
      <c r="I621" s="86">
        <v>620</v>
      </c>
      <c r="J621" s="87">
        <v>3.4560379314259562</v>
      </c>
      <c r="K621" s="87">
        <v>6.9486995235442066</v>
      </c>
    </row>
    <row r="622" spans="9:11" x14ac:dyDescent="0.25">
      <c r="I622" s="86">
        <v>621</v>
      </c>
      <c r="J622" s="87">
        <v>0.15794950993745704</v>
      </c>
      <c r="K622" s="87">
        <v>5.1822355639912994</v>
      </c>
    </row>
    <row r="623" spans="9:11" x14ac:dyDescent="0.25">
      <c r="I623" s="86">
        <v>622</v>
      </c>
      <c r="J623" s="87">
        <v>1.0000586571840437</v>
      </c>
      <c r="K623" s="87">
        <v>5.9747481981814294</v>
      </c>
    </row>
    <row r="624" spans="9:11" x14ac:dyDescent="0.25">
      <c r="I624" s="86">
        <v>623</v>
      </c>
      <c r="J624" s="87">
        <v>1.2226988822076934</v>
      </c>
      <c r="K624" s="87">
        <v>6.1575258634435395</v>
      </c>
    </row>
    <row r="625" spans="9:11" x14ac:dyDescent="0.25">
      <c r="I625" s="86">
        <v>624</v>
      </c>
      <c r="J625" s="87">
        <v>1.0645962402125244</v>
      </c>
      <c r="K625" s="87">
        <v>6.2356827541658646</v>
      </c>
    </row>
    <row r="626" spans="9:11" x14ac:dyDescent="0.25">
      <c r="I626" s="86">
        <v>625</v>
      </c>
      <c r="J626" s="87">
        <v>1.1624381386295335</v>
      </c>
      <c r="K626" s="87">
        <v>8.2450284832410858</v>
      </c>
    </row>
    <row r="627" spans="9:11" x14ac:dyDescent="0.25">
      <c r="I627" s="86">
        <v>626</v>
      </c>
      <c r="J627" s="87">
        <v>2.2486771447335867</v>
      </c>
      <c r="K627" s="87">
        <v>7.9329447621350582</v>
      </c>
    </row>
    <row r="628" spans="9:11" x14ac:dyDescent="0.25">
      <c r="I628" s="86">
        <v>627</v>
      </c>
      <c r="J628" s="87">
        <v>-0.87864006547624118</v>
      </c>
      <c r="K628" s="87">
        <v>5.2958179206996459</v>
      </c>
    </row>
    <row r="629" spans="9:11" x14ac:dyDescent="0.25">
      <c r="I629" s="86">
        <v>628</v>
      </c>
      <c r="J629" s="87">
        <v>0.62571127840924401</v>
      </c>
      <c r="K629" s="87">
        <v>8.0150106690912395</v>
      </c>
    </row>
    <row r="630" spans="9:11" x14ac:dyDescent="0.25">
      <c r="I630" s="86">
        <v>629</v>
      </c>
      <c r="J630" s="87">
        <v>1.8755421629205689</v>
      </c>
      <c r="K630" s="87">
        <v>7.2102912805198542</v>
      </c>
    </row>
    <row r="631" spans="9:11" x14ac:dyDescent="0.25">
      <c r="I631" s="86">
        <v>630</v>
      </c>
      <c r="J631" s="87">
        <v>0.32685338750425252</v>
      </c>
      <c r="K631" s="87">
        <v>5.4362014562907373</v>
      </c>
    </row>
    <row r="632" spans="9:11" x14ac:dyDescent="0.25">
      <c r="I632" s="86">
        <v>631</v>
      </c>
      <c r="J632" s="87">
        <v>1.5955896970785264</v>
      </c>
      <c r="K632" s="87">
        <v>5.9496520348794251</v>
      </c>
    </row>
    <row r="633" spans="9:11" x14ac:dyDescent="0.25">
      <c r="I633" s="86">
        <v>632</v>
      </c>
      <c r="J633" s="87">
        <v>0.90711516324188057</v>
      </c>
      <c r="K633" s="87">
        <v>7.4768648542676122</v>
      </c>
    </row>
    <row r="634" spans="9:11" x14ac:dyDescent="0.25">
      <c r="I634" s="86">
        <v>633</v>
      </c>
      <c r="J634" s="87">
        <v>0.9954234506653008</v>
      </c>
      <c r="K634" s="87">
        <v>5.6205229997852477</v>
      </c>
    </row>
    <row r="635" spans="9:11" x14ac:dyDescent="0.25">
      <c r="I635" s="86">
        <v>634</v>
      </c>
      <c r="J635" s="87">
        <v>5.1239577338381208</v>
      </c>
      <c r="K635" s="87">
        <v>8.2873368478346361</v>
      </c>
    </row>
    <row r="636" spans="9:11" x14ac:dyDescent="0.25">
      <c r="I636" s="86">
        <v>635</v>
      </c>
      <c r="J636" s="87">
        <v>3.6797782864525939</v>
      </c>
      <c r="K636" s="87">
        <v>7.8068117545788178</v>
      </c>
    </row>
    <row r="637" spans="9:11" x14ac:dyDescent="0.25">
      <c r="I637" s="86">
        <v>636</v>
      </c>
      <c r="J637" s="87">
        <v>2.7972160921267868</v>
      </c>
      <c r="K637" s="87">
        <v>6.7369571041379555</v>
      </c>
    </row>
    <row r="638" spans="9:11" x14ac:dyDescent="0.25">
      <c r="I638" s="86">
        <v>637</v>
      </c>
      <c r="J638" s="87">
        <v>1.7193551564622096</v>
      </c>
      <c r="K638" s="87">
        <v>6.1582238013888384</v>
      </c>
    </row>
    <row r="639" spans="9:11" x14ac:dyDescent="0.25">
      <c r="I639" s="86">
        <v>638</v>
      </c>
      <c r="J639" s="87">
        <v>0.56391868249379407</v>
      </c>
      <c r="K639" s="87">
        <v>6.0781347319283352</v>
      </c>
    </row>
    <row r="640" spans="9:11" x14ac:dyDescent="0.25">
      <c r="I640" s="86">
        <v>639</v>
      </c>
      <c r="J640" s="87">
        <v>4.7960303741229513</v>
      </c>
      <c r="K640" s="87">
        <v>7.8706267519080697</v>
      </c>
    </row>
    <row r="641" spans="9:11" x14ac:dyDescent="0.25">
      <c r="I641" s="86">
        <v>640</v>
      </c>
      <c r="J641" s="87">
        <v>1.5514980087655816</v>
      </c>
      <c r="K641" s="87">
        <v>7.7397050351308003</v>
      </c>
    </row>
    <row r="642" spans="9:11" x14ac:dyDescent="0.25">
      <c r="I642" s="86">
        <v>641</v>
      </c>
      <c r="J642" s="87">
        <v>1.6875961624993705</v>
      </c>
      <c r="K642" s="87">
        <v>5.3845927478769742</v>
      </c>
    </row>
    <row r="643" spans="9:11" x14ac:dyDescent="0.25">
      <c r="I643" s="86">
        <v>642</v>
      </c>
      <c r="J643" s="87">
        <v>1.4632434347451593</v>
      </c>
      <c r="K643" s="87">
        <v>8.7279009314493372</v>
      </c>
    </row>
    <row r="644" spans="9:11" x14ac:dyDescent="0.25">
      <c r="I644" s="86">
        <v>643</v>
      </c>
      <c r="J644" s="87">
        <v>2.0038449394700564E-2</v>
      </c>
      <c r="K644" s="87">
        <v>6.064323061345819</v>
      </c>
    </row>
    <row r="645" spans="9:11" x14ac:dyDescent="0.25">
      <c r="I645" s="86">
        <v>644</v>
      </c>
      <c r="J645" s="87">
        <v>-2.1848328843026463</v>
      </c>
      <c r="K645" s="87">
        <v>5.2223326050242553</v>
      </c>
    </row>
    <row r="646" spans="9:11" x14ac:dyDescent="0.25">
      <c r="I646" s="86">
        <v>645</v>
      </c>
      <c r="J646" s="87">
        <v>-0.5400745872764654</v>
      </c>
      <c r="K646" s="87">
        <v>6.1861289208397245</v>
      </c>
    </row>
    <row r="647" spans="9:11" x14ac:dyDescent="0.25">
      <c r="I647" s="86">
        <v>646</v>
      </c>
      <c r="J647" s="87">
        <v>2.333732602735239</v>
      </c>
      <c r="K647" s="87">
        <v>8.1727304267971608</v>
      </c>
    </row>
    <row r="648" spans="9:11" x14ac:dyDescent="0.25">
      <c r="I648" s="86">
        <v>647</v>
      </c>
      <c r="J648" s="87">
        <v>2.9646571279539522</v>
      </c>
      <c r="K648" s="87">
        <v>7.1323449414328479</v>
      </c>
    </row>
    <row r="649" spans="9:11" x14ac:dyDescent="0.25">
      <c r="I649" s="86">
        <v>648</v>
      </c>
      <c r="J649" s="87">
        <v>1.5943286231880478</v>
      </c>
      <c r="K649" s="87">
        <v>7.7864430704631191</v>
      </c>
    </row>
    <row r="650" spans="9:11" x14ac:dyDescent="0.25">
      <c r="I650" s="86">
        <v>649</v>
      </c>
      <c r="J650" s="87">
        <v>1.3258366221196809</v>
      </c>
      <c r="K650" s="87">
        <v>7.5668748500587046</v>
      </c>
    </row>
    <row r="651" spans="9:11" x14ac:dyDescent="0.25">
      <c r="I651" s="86">
        <v>650</v>
      </c>
      <c r="J651" s="87">
        <v>2.9482884250599781</v>
      </c>
      <c r="K651" s="87">
        <v>11.94850609210097</v>
      </c>
    </row>
    <row r="652" spans="9:11" x14ac:dyDescent="0.25">
      <c r="I652" s="86">
        <v>651</v>
      </c>
      <c r="J652" s="87">
        <v>-0.83893047457189951</v>
      </c>
      <c r="K652" s="87">
        <v>6.1277429271821866</v>
      </c>
    </row>
    <row r="653" spans="9:11" x14ac:dyDescent="0.25">
      <c r="I653" s="86">
        <v>652</v>
      </c>
      <c r="J653" s="87">
        <v>0.89519419434201719</v>
      </c>
      <c r="K653" s="87">
        <v>6.1006583346411363</v>
      </c>
    </row>
    <row r="654" spans="9:11" x14ac:dyDescent="0.25">
      <c r="I654" s="86">
        <v>653</v>
      </c>
      <c r="J654" s="87">
        <v>11.251487720732573</v>
      </c>
      <c r="K654" s="87">
        <v>11.907167639232663</v>
      </c>
    </row>
    <row r="655" spans="9:11" x14ac:dyDescent="0.25">
      <c r="I655" s="86">
        <v>654</v>
      </c>
      <c r="J655" s="87">
        <v>0.57667046659959453</v>
      </c>
      <c r="K655" s="87">
        <v>6.3947498704131274</v>
      </c>
    </row>
    <row r="656" spans="9:11" x14ac:dyDescent="0.25">
      <c r="I656" s="86">
        <v>655</v>
      </c>
      <c r="J656" s="87">
        <v>1.5184095304100262</v>
      </c>
      <c r="K656" s="87">
        <v>6.3836698875017159</v>
      </c>
    </row>
    <row r="657" spans="9:11" x14ac:dyDescent="0.25">
      <c r="I657" s="86">
        <v>656</v>
      </c>
      <c r="J657" s="87">
        <v>0.76960130893238121</v>
      </c>
      <c r="K657" s="87">
        <v>5.700076404309006</v>
      </c>
    </row>
    <row r="658" spans="9:11" x14ac:dyDescent="0.25">
      <c r="I658" s="86">
        <v>657</v>
      </c>
      <c r="J658" s="87">
        <v>0.31068676273787066</v>
      </c>
      <c r="K658" s="87">
        <v>6.0333186885029626</v>
      </c>
    </row>
    <row r="659" spans="9:11" x14ac:dyDescent="0.25">
      <c r="I659" s="86">
        <v>658</v>
      </c>
      <c r="J659" s="87">
        <v>-0.75748747553203621</v>
      </c>
      <c r="K659" s="87">
        <v>6.0179102460186993</v>
      </c>
    </row>
    <row r="660" spans="9:11" x14ac:dyDescent="0.25">
      <c r="I660" s="86">
        <v>659</v>
      </c>
      <c r="J660" s="87">
        <v>-0.95434021874975006</v>
      </c>
      <c r="K660" s="87">
        <v>5.7032532022183657</v>
      </c>
    </row>
    <row r="661" spans="9:11" x14ac:dyDescent="0.25">
      <c r="I661" s="86">
        <v>660</v>
      </c>
      <c r="J661" s="87">
        <v>0.28485052533299493</v>
      </c>
      <c r="K661" s="87">
        <v>4.8417193315903502</v>
      </c>
    </row>
    <row r="662" spans="9:11" x14ac:dyDescent="0.25">
      <c r="I662" s="86">
        <v>661</v>
      </c>
      <c r="J662" s="87">
        <v>7.2372590556254082</v>
      </c>
      <c r="K662" s="87">
        <v>9.0799487216303163</v>
      </c>
    </row>
    <row r="663" spans="9:11" x14ac:dyDescent="0.25">
      <c r="I663" s="86">
        <v>662</v>
      </c>
      <c r="J663" s="87">
        <v>5.216704022048221</v>
      </c>
      <c r="K663" s="87">
        <v>9.3714448277184186</v>
      </c>
    </row>
    <row r="664" spans="9:11" x14ac:dyDescent="0.25">
      <c r="I664" s="86">
        <v>663</v>
      </c>
      <c r="J664" s="87">
        <v>1.3193410131792769</v>
      </c>
      <c r="K664" s="87">
        <v>7.8142384138926291</v>
      </c>
    </row>
    <row r="665" spans="9:11" x14ac:dyDescent="0.25">
      <c r="I665" s="86">
        <v>664</v>
      </c>
      <c r="J665" s="87">
        <v>0.42505919257252334</v>
      </c>
      <c r="K665" s="87">
        <v>6.8108462787087296</v>
      </c>
    </row>
    <row r="666" spans="9:11" x14ac:dyDescent="0.25">
      <c r="I666" s="86">
        <v>665</v>
      </c>
      <c r="J666" s="87">
        <v>0.22657497819561723</v>
      </c>
      <c r="K666" s="87">
        <v>6.4083070210133863</v>
      </c>
    </row>
    <row r="667" spans="9:11" x14ac:dyDescent="0.25">
      <c r="I667" s="86">
        <v>666</v>
      </c>
      <c r="J667" s="87">
        <v>7.7518920132522986</v>
      </c>
      <c r="K667" s="87">
        <v>12.160714481853066</v>
      </c>
    </row>
    <row r="668" spans="9:11" x14ac:dyDescent="0.25">
      <c r="I668" s="86">
        <v>667</v>
      </c>
      <c r="J668" s="87">
        <v>1.9335445704517573</v>
      </c>
      <c r="K668" s="87">
        <v>7.2877982711969418</v>
      </c>
    </row>
    <row r="669" spans="9:11" x14ac:dyDescent="0.25">
      <c r="I669" s="86">
        <v>668</v>
      </c>
      <c r="J669" s="87">
        <v>-2.1656126527985355</v>
      </c>
      <c r="K669" s="87">
        <v>5.4698174082107398</v>
      </c>
    </row>
    <row r="670" spans="9:11" x14ac:dyDescent="0.25">
      <c r="I670" s="86">
        <v>669</v>
      </c>
      <c r="J670" s="87">
        <v>-2.072595010171816</v>
      </c>
      <c r="K670" s="87">
        <v>5.457138361709946</v>
      </c>
    </row>
    <row r="671" spans="9:11" x14ac:dyDescent="0.25">
      <c r="I671" s="86">
        <v>670</v>
      </c>
      <c r="J671" s="87">
        <v>1.5882457384641802</v>
      </c>
      <c r="K671" s="87">
        <v>7.2661095247842997</v>
      </c>
    </row>
    <row r="672" spans="9:11" x14ac:dyDescent="0.25">
      <c r="I672" s="86">
        <v>671</v>
      </c>
      <c r="J672" s="87">
        <v>2.4653180467609364</v>
      </c>
      <c r="K672" s="87">
        <v>7.3814677778648852</v>
      </c>
    </row>
    <row r="673" spans="9:11" x14ac:dyDescent="0.25">
      <c r="I673" s="86">
        <v>672</v>
      </c>
      <c r="J673" s="87">
        <v>0.36657245325201959</v>
      </c>
      <c r="K673" s="87">
        <v>6.0994735929374917</v>
      </c>
    </row>
    <row r="674" spans="9:11" x14ac:dyDescent="0.25">
      <c r="I674" s="86">
        <v>673</v>
      </c>
      <c r="J674" s="87">
        <v>5.0600959432758295</v>
      </c>
      <c r="K674" s="87">
        <v>7.7017086103346841</v>
      </c>
    </row>
    <row r="675" spans="9:11" x14ac:dyDescent="0.25">
      <c r="I675" s="86">
        <v>674</v>
      </c>
      <c r="J675" s="87">
        <v>5.1699361478529795</v>
      </c>
      <c r="K675" s="87">
        <v>9.729267473974879</v>
      </c>
    </row>
    <row r="676" spans="9:11" x14ac:dyDescent="0.25">
      <c r="I676" s="86">
        <v>675</v>
      </c>
      <c r="J676" s="87">
        <v>0.81015233046217183</v>
      </c>
      <c r="K676" s="87">
        <v>6.7069051293675752</v>
      </c>
    </row>
    <row r="677" spans="9:11" x14ac:dyDescent="0.25">
      <c r="I677" s="86">
        <v>676</v>
      </c>
      <c r="J677" s="87">
        <v>0.1037460832289554</v>
      </c>
      <c r="K677" s="87">
        <v>7.6902736108693581</v>
      </c>
    </row>
    <row r="678" spans="9:11" x14ac:dyDescent="0.25">
      <c r="I678" s="86">
        <v>677</v>
      </c>
      <c r="J678" s="87">
        <v>-1.6979969027278425</v>
      </c>
      <c r="K678" s="87">
        <v>5.4649632109248776</v>
      </c>
    </row>
    <row r="679" spans="9:11" x14ac:dyDescent="0.25">
      <c r="I679" s="86">
        <v>678</v>
      </c>
      <c r="J679" s="87">
        <v>1.2418086710752649</v>
      </c>
      <c r="K679" s="87">
        <v>6.2609385318854534</v>
      </c>
    </row>
    <row r="680" spans="9:11" x14ac:dyDescent="0.25">
      <c r="I680" s="86">
        <v>679</v>
      </c>
      <c r="J680" s="87">
        <v>0.857164791398624</v>
      </c>
      <c r="K680" s="87">
        <v>6.7986089312912545</v>
      </c>
    </row>
    <row r="681" spans="9:11" x14ac:dyDescent="0.25">
      <c r="I681" s="86">
        <v>680</v>
      </c>
      <c r="J681" s="87">
        <v>2.3612997795885313</v>
      </c>
      <c r="K681" s="87">
        <v>7.5668062154046831</v>
      </c>
    </row>
    <row r="682" spans="9:11" x14ac:dyDescent="0.25">
      <c r="I682" s="86">
        <v>681</v>
      </c>
      <c r="J682" s="87">
        <v>1.4201905002083075</v>
      </c>
      <c r="K682" s="87">
        <v>6.9266846720644306</v>
      </c>
    </row>
    <row r="683" spans="9:11" x14ac:dyDescent="0.25">
      <c r="I683" s="86">
        <v>682</v>
      </c>
      <c r="J683" s="87">
        <v>2.5843486844994743</v>
      </c>
      <c r="K683" s="87">
        <v>8.235702219674204</v>
      </c>
    </row>
    <row r="684" spans="9:11" x14ac:dyDescent="0.25">
      <c r="I684" s="86">
        <v>683</v>
      </c>
      <c r="J684" s="87">
        <v>-3.3949005745721905E-2</v>
      </c>
      <c r="K684" s="87">
        <v>5.4739357573823257</v>
      </c>
    </row>
    <row r="685" spans="9:11" x14ac:dyDescent="0.25">
      <c r="I685" s="86">
        <v>684</v>
      </c>
      <c r="J685" s="87">
        <v>4.0322808385553239</v>
      </c>
      <c r="K685" s="87">
        <v>7.3913961703159705</v>
      </c>
    </row>
    <row r="686" spans="9:11" x14ac:dyDescent="0.25">
      <c r="I686" s="86">
        <v>685</v>
      </c>
      <c r="J686" s="87">
        <v>3.069792384306723</v>
      </c>
      <c r="K686" s="87">
        <v>6.9493857055960646</v>
      </c>
    </row>
    <row r="687" spans="9:11" x14ac:dyDescent="0.25">
      <c r="I687" s="86">
        <v>686</v>
      </c>
      <c r="J687" s="87">
        <v>0.39119231946375788</v>
      </c>
      <c r="K687" s="87">
        <v>6.5738293757623536</v>
      </c>
    </row>
    <row r="688" spans="9:11" x14ac:dyDescent="0.25">
      <c r="I688" s="86">
        <v>687</v>
      </c>
      <c r="J688" s="87">
        <v>2.2023405503415363</v>
      </c>
      <c r="K688" s="87">
        <v>9.3280676646702805</v>
      </c>
    </row>
    <row r="689" spans="9:11" x14ac:dyDescent="0.25">
      <c r="I689" s="86">
        <v>688</v>
      </c>
      <c r="J689" s="87">
        <v>2.5824625073526528</v>
      </c>
      <c r="K689" s="87">
        <v>7.4388069903047018</v>
      </c>
    </row>
    <row r="690" spans="9:11" x14ac:dyDescent="0.25">
      <c r="I690" s="86">
        <v>689</v>
      </c>
      <c r="J690" s="87">
        <v>1.3833313813473831</v>
      </c>
      <c r="K690" s="87">
        <v>6.8324222315918766</v>
      </c>
    </row>
    <row r="691" spans="9:11" x14ac:dyDescent="0.25">
      <c r="I691" s="86">
        <v>690</v>
      </c>
      <c r="J691" s="87">
        <v>2.7340027515472256</v>
      </c>
      <c r="K691" s="87">
        <v>7.9451599840332152</v>
      </c>
    </row>
    <row r="692" spans="9:11" x14ac:dyDescent="0.25">
      <c r="I692" s="86">
        <v>691</v>
      </c>
      <c r="J692" s="87">
        <v>1.5748554046136443</v>
      </c>
      <c r="K692" s="87">
        <v>7.5824530568916861</v>
      </c>
    </row>
    <row r="693" spans="9:11" x14ac:dyDescent="0.25">
      <c r="I693" s="86">
        <v>692</v>
      </c>
      <c r="J693" s="87">
        <v>4.4997764335264865</v>
      </c>
      <c r="K693" s="87">
        <v>11.365279733219882</v>
      </c>
    </row>
    <row r="694" spans="9:11" x14ac:dyDescent="0.25">
      <c r="I694" s="86">
        <v>693</v>
      </c>
      <c r="J694" s="87">
        <v>0.16067763611481212</v>
      </c>
      <c r="K694" s="87">
        <v>5.6171523065006825</v>
      </c>
    </row>
    <row r="695" spans="9:11" x14ac:dyDescent="0.25">
      <c r="I695" s="86">
        <v>694</v>
      </c>
      <c r="J695" s="87">
        <v>4.3549248085615959</v>
      </c>
      <c r="K695" s="87">
        <v>7.5523745362163028</v>
      </c>
    </row>
    <row r="696" spans="9:11" x14ac:dyDescent="0.25">
      <c r="I696" s="86">
        <v>695</v>
      </c>
      <c r="J696" s="87">
        <v>-3.9500060030720263E-2</v>
      </c>
      <c r="K696" s="87">
        <v>6.2372548936064716</v>
      </c>
    </row>
    <row r="697" spans="9:11" x14ac:dyDescent="0.25">
      <c r="I697" s="86">
        <v>696</v>
      </c>
      <c r="J697" s="87">
        <v>-1.5640718253501431</v>
      </c>
      <c r="K697" s="87">
        <v>5.3145320258223778</v>
      </c>
    </row>
    <row r="698" spans="9:11" x14ac:dyDescent="0.25">
      <c r="I698" s="86">
        <v>697</v>
      </c>
      <c r="J698" s="87">
        <v>1.2504661913639374</v>
      </c>
      <c r="K698" s="87">
        <v>7.8928744195583249</v>
      </c>
    </row>
    <row r="699" spans="9:11" x14ac:dyDescent="0.25">
      <c r="I699" s="86">
        <v>698</v>
      </c>
      <c r="J699" s="87">
        <v>2.9259103187093665</v>
      </c>
      <c r="K699" s="87">
        <v>8.1196709984644482</v>
      </c>
    </row>
    <row r="700" spans="9:11" x14ac:dyDescent="0.25">
      <c r="I700" s="86">
        <v>699</v>
      </c>
      <c r="J700" s="87">
        <v>1.7172165562086414</v>
      </c>
      <c r="K700" s="87">
        <v>6.1095358376074653</v>
      </c>
    </row>
    <row r="701" spans="9:11" x14ac:dyDescent="0.25">
      <c r="I701" s="86">
        <v>700</v>
      </c>
      <c r="J701" s="87">
        <v>0.69496084698239757</v>
      </c>
      <c r="K701" s="87">
        <v>5.0787431369165859</v>
      </c>
    </row>
    <row r="702" spans="9:11" x14ac:dyDescent="0.25">
      <c r="I702" s="86">
        <v>701</v>
      </c>
      <c r="J702" s="87">
        <v>1.8878669198453171</v>
      </c>
      <c r="K702" s="87">
        <v>7.4415701028985657</v>
      </c>
    </row>
    <row r="703" spans="9:11" x14ac:dyDescent="0.25">
      <c r="I703" s="86">
        <v>702</v>
      </c>
      <c r="J703" s="87">
        <v>-2.9307132768663409</v>
      </c>
      <c r="K703" s="87">
        <v>4.6006350623984256</v>
      </c>
    </row>
    <row r="704" spans="9:11" x14ac:dyDescent="0.25">
      <c r="I704" s="86">
        <v>703</v>
      </c>
      <c r="J704" s="87">
        <v>3.229683680052684</v>
      </c>
      <c r="K704" s="87">
        <v>7.4305683151485074</v>
      </c>
    </row>
    <row r="705" spans="9:11" x14ac:dyDescent="0.25">
      <c r="I705" s="86">
        <v>704</v>
      </c>
      <c r="J705" s="87">
        <v>0.84287653375835703</v>
      </c>
      <c r="K705" s="87">
        <v>7.4601352294148562</v>
      </c>
    </row>
    <row r="706" spans="9:11" x14ac:dyDescent="0.25">
      <c r="I706" s="86">
        <v>705</v>
      </c>
      <c r="J706" s="87">
        <v>0.3656216160459147</v>
      </c>
      <c r="K706" s="87">
        <v>5.3182690252314453</v>
      </c>
    </row>
    <row r="707" spans="9:11" x14ac:dyDescent="0.25">
      <c r="I707" s="86">
        <v>706</v>
      </c>
      <c r="J707" s="87">
        <v>0.98020605162478258</v>
      </c>
      <c r="K707" s="87">
        <v>6.5876876722760338</v>
      </c>
    </row>
    <row r="708" spans="9:11" x14ac:dyDescent="0.25">
      <c r="I708" s="86">
        <v>707</v>
      </c>
      <c r="J708" s="87">
        <v>-0.32935733997561112</v>
      </c>
      <c r="K708" s="87">
        <v>4.7611516141574803</v>
      </c>
    </row>
    <row r="709" spans="9:11" x14ac:dyDescent="0.25">
      <c r="I709" s="86">
        <v>708</v>
      </c>
      <c r="J709" s="87">
        <v>2.315677528806428</v>
      </c>
      <c r="K709" s="87">
        <v>7.2408329365684629</v>
      </c>
    </row>
    <row r="710" spans="9:11" x14ac:dyDescent="0.25">
      <c r="I710" s="86">
        <v>709</v>
      </c>
      <c r="J710" s="87">
        <v>-0.1111445652052403</v>
      </c>
      <c r="K710" s="87">
        <v>5.4213163717177926</v>
      </c>
    </row>
    <row r="711" spans="9:11" x14ac:dyDescent="0.25">
      <c r="I711" s="86">
        <v>710</v>
      </c>
      <c r="J711" s="87">
        <v>2.1803304472469578</v>
      </c>
      <c r="K711" s="87">
        <v>5.755124588655832</v>
      </c>
    </row>
    <row r="712" spans="9:11" x14ac:dyDescent="0.25">
      <c r="I712" s="86">
        <v>711</v>
      </c>
      <c r="J712" s="87">
        <v>3.0697722854642624</v>
      </c>
      <c r="K712" s="87">
        <v>8.1875457572467152</v>
      </c>
    </row>
    <row r="713" spans="9:11" x14ac:dyDescent="0.25">
      <c r="I713" s="86">
        <v>712</v>
      </c>
      <c r="J713" s="87">
        <v>2.4509573855152684</v>
      </c>
      <c r="K713" s="87">
        <v>9.7990345495120472</v>
      </c>
    </row>
    <row r="714" spans="9:11" x14ac:dyDescent="0.25">
      <c r="I714" s="86">
        <v>713</v>
      </c>
      <c r="J714" s="87">
        <v>0.25453107810888209</v>
      </c>
      <c r="K714" s="87">
        <v>4.6666403298134362</v>
      </c>
    </row>
    <row r="715" spans="9:11" x14ac:dyDescent="0.25">
      <c r="I715" s="86">
        <v>714</v>
      </c>
      <c r="J715" s="87">
        <v>1.5159227589416941</v>
      </c>
      <c r="K715" s="87">
        <v>6.6433262277455496</v>
      </c>
    </row>
    <row r="716" spans="9:11" x14ac:dyDescent="0.25">
      <c r="I716" s="86">
        <v>715</v>
      </c>
      <c r="J716" s="87">
        <v>0.78010793185019978</v>
      </c>
      <c r="K716" s="87">
        <v>6.9100662929465191</v>
      </c>
    </row>
    <row r="717" spans="9:11" x14ac:dyDescent="0.25">
      <c r="I717" s="86">
        <v>716</v>
      </c>
      <c r="J717" s="87">
        <v>1.1497962700987427</v>
      </c>
      <c r="K717" s="87">
        <v>7.5686817574849652</v>
      </c>
    </row>
    <row r="718" spans="9:11" x14ac:dyDescent="0.25">
      <c r="I718" s="86">
        <v>717</v>
      </c>
      <c r="J718" s="87">
        <v>-0.13943940069832816</v>
      </c>
      <c r="K718" s="87">
        <v>7.0632671129868783</v>
      </c>
    </row>
    <row r="719" spans="9:11" x14ac:dyDescent="0.25">
      <c r="I719" s="86">
        <v>718</v>
      </c>
      <c r="J719" s="87">
        <v>2.9467173294202649</v>
      </c>
      <c r="K719" s="87">
        <v>5.9421409001273053</v>
      </c>
    </row>
    <row r="720" spans="9:11" x14ac:dyDescent="0.25">
      <c r="I720" s="86">
        <v>719</v>
      </c>
      <c r="J720" s="87">
        <v>5.318046412718628</v>
      </c>
      <c r="K720" s="87">
        <v>10.903085402221825</v>
      </c>
    </row>
    <row r="721" spans="9:11" x14ac:dyDescent="0.25">
      <c r="I721" s="86">
        <v>720</v>
      </c>
      <c r="J721" s="87">
        <v>2.6387943847702697</v>
      </c>
      <c r="K721" s="87">
        <v>11.7975858074436</v>
      </c>
    </row>
    <row r="722" spans="9:11" x14ac:dyDescent="0.25">
      <c r="I722" s="86">
        <v>721</v>
      </c>
      <c r="J722" s="87">
        <v>1.4646570232338343</v>
      </c>
      <c r="K722" s="87">
        <v>5.3479834097593377</v>
      </c>
    </row>
    <row r="723" spans="9:11" x14ac:dyDescent="0.25">
      <c r="I723" s="86">
        <v>722</v>
      </c>
      <c r="J723" s="87">
        <v>0.80889520452072272</v>
      </c>
      <c r="K723" s="87">
        <v>6.9759677966260041</v>
      </c>
    </row>
    <row r="724" spans="9:11" x14ac:dyDescent="0.25">
      <c r="I724" s="86">
        <v>723</v>
      </c>
      <c r="J724" s="87">
        <v>1.9421911153056213</v>
      </c>
      <c r="K724" s="87">
        <v>10.080950997753728</v>
      </c>
    </row>
    <row r="725" spans="9:11" x14ac:dyDescent="0.25">
      <c r="I725" s="86">
        <v>724</v>
      </c>
      <c r="J725" s="87">
        <v>3.4256180788712562</v>
      </c>
      <c r="K725" s="87">
        <v>7.7163819980262529</v>
      </c>
    </row>
    <row r="726" spans="9:11" x14ac:dyDescent="0.25">
      <c r="I726" s="86">
        <v>725</v>
      </c>
      <c r="J726" s="87">
        <v>1.3351769960635393</v>
      </c>
      <c r="K726" s="87">
        <v>5.5036944950123567</v>
      </c>
    </row>
    <row r="727" spans="9:11" x14ac:dyDescent="0.25">
      <c r="I727" s="86">
        <v>726</v>
      </c>
      <c r="J727" s="87">
        <v>1.3332749167824804</v>
      </c>
      <c r="K727" s="87">
        <v>6.3889659195470783</v>
      </c>
    </row>
    <row r="728" spans="9:11" x14ac:dyDescent="0.25">
      <c r="I728" s="86">
        <v>727</v>
      </c>
      <c r="J728" s="87">
        <v>2.0155912368410931</v>
      </c>
      <c r="K728" s="87">
        <v>5.4075486737892806</v>
      </c>
    </row>
    <row r="729" spans="9:11" x14ac:dyDescent="0.25">
      <c r="I729" s="86">
        <v>728</v>
      </c>
      <c r="J729" s="87">
        <v>2.5078076169436816</v>
      </c>
      <c r="K729" s="87">
        <v>7.3946622942054363</v>
      </c>
    </row>
    <row r="730" spans="9:11" x14ac:dyDescent="0.25">
      <c r="I730" s="86">
        <v>729</v>
      </c>
      <c r="J730" s="87">
        <v>1.0425027470511692</v>
      </c>
      <c r="K730" s="87">
        <v>7.3239938867900864</v>
      </c>
    </row>
    <row r="731" spans="9:11" x14ac:dyDescent="0.25">
      <c r="I731" s="86">
        <v>730</v>
      </c>
      <c r="J731" s="87">
        <v>-1.0477307722455729</v>
      </c>
      <c r="K731" s="87">
        <v>5.3652291990689536</v>
      </c>
    </row>
    <row r="732" spans="9:11" x14ac:dyDescent="0.25">
      <c r="I732" s="86">
        <v>731</v>
      </c>
      <c r="J732" s="87">
        <v>2.036470658609673</v>
      </c>
      <c r="K732" s="87">
        <v>7.8843407137095962</v>
      </c>
    </row>
    <row r="733" spans="9:11" x14ac:dyDescent="0.25">
      <c r="I733" s="86">
        <v>732</v>
      </c>
      <c r="J733" s="87">
        <v>2.2840973701998726</v>
      </c>
      <c r="K733" s="87">
        <v>8.9255779854374868</v>
      </c>
    </row>
    <row r="734" spans="9:11" x14ac:dyDescent="0.25">
      <c r="I734" s="86">
        <v>733</v>
      </c>
      <c r="J734" s="87">
        <v>1.9239035811452485</v>
      </c>
      <c r="K734" s="87">
        <v>7.5764635870818386</v>
      </c>
    </row>
    <row r="735" spans="9:11" x14ac:dyDescent="0.25">
      <c r="I735" s="86">
        <v>734</v>
      </c>
      <c r="J735" s="87">
        <v>1.5936949808029159</v>
      </c>
      <c r="K735" s="87">
        <v>5.8362539840708516</v>
      </c>
    </row>
    <row r="736" spans="9:11" x14ac:dyDescent="0.25">
      <c r="I736" s="86">
        <v>735</v>
      </c>
      <c r="J736" s="87">
        <v>8.4311354660549398E-2</v>
      </c>
      <c r="K736" s="87">
        <v>5.347031270233269</v>
      </c>
    </row>
    <row r="737" spans="9:11" x14ac:dyDescent="0.25">
      <c r="I737" s="86">
        <v>736</v>
      </c>
      <c r="J737" s="87">
        <v>1.7457267739205484</v>
      </c>
      <c r="K737" s="87">
        <v>6.0873336085794936</v>
      </c>
    </row>
    <row r="738" spans="9:11" x14ac:dyDescent="0.25">
      <c r="I738" s="86">
        <v>737</v>
      </c>
      <c r="J738" s="87">
        <v>1.4446544498235259</v>
      </c>
      <c r="K738" s="87">
        <v>6.6191631318678255</v>
      </c>
    </row>
    <row r="739" spans="9:11" x14ac:dyDescent="0.25">
      <c r="I739" s="86">
        <v>738</v>
      </c>
      <c r="J739" s="87">
        <v>1.7254054610335468</v>
      </c>
      <c r="K739" s="87">
        <v>5.0901117170247607</v>
      </c>
    </row>
    <row r="740" spans="9:11" x14ac:dyDescent="0.25">
      <c r="I740" s="86">
        <v>739</v>
      </c>
      <c r="J740" s="87">
        <v>3.6882947918865581</v>
      </c>
      <c r="K740" s="87">
        <v>8.1145348249327576</v>
      </c>
    </row>
    <row r="741" spans="9:11" x14ac:dyDescent="0.25">
      <c r="I741" s="86">
        <v>740</v>
      </c>
      <c r="J741" s="87">
        <v>3.578814269552387</v>
      </c>
      <c r="K741" s="87">
        <v>6.6927885895904184</v>
      </c>
    </row>
    <row r="742" spans="9:11" x14ac:dyDescent="0.25">
      <c r="I742" s="86">
        <v>741</v>
      </c>
      <c r="J742" s="87">
        <v>2.1704047314867365</v>
      </c>
      <c r="K742" s="87">
        <v>5.8885358854213976</v>
      </c>
    </row>
    <row r="743" spans="9:11" x14ac:dyDescent="0.25">
      <c r="I743" s="86">
        <v>742</v>
      </c>
      <c r="J743" s="87">
        <v>2.2766420672853593</v>
      </c>
      <c r="K743" s="87">
        <v>5.1129574727506597</v>
      </c>
    </row>
    <row r="744" spans="9:11" x14ac:dyDescent="0.25">
      <c r="I744" s="86">
        <v>743</v>
      </c>
      <c r="J744" s="87">
        <v>6.1795457004788599</v>
      </c>
      <c r="K744" s="87">
        <v>11.240302815777524</v>
      </c>
    </row>
    <row r="745" spans="9:11" x14ac:dyDescent="0.25">
      <c r="I745" s="86">
        <v>744</v>
      </c>
      <c r="J745" s="87">
        <v>3.945947742541958</v>
      </c>
      <c r="K745" s="87">
        <v>9.4815847256645718</v>
      </c>
    </row>
    <row r="746" spans="9:11" x14ac:dyDescent="0.25">
      <c r="I746" s="86">
        <v>745</v>
      </c>
      <c r="J746" s="87">
        <v>4.6803756446516669</v>
      </c>
      <c r="K746" s="87">
        <v>8.9082574877926373</v>
      </c>
    </row>
    <row r="747" spans="9:11" x14ac:dyDescent="0.25">
      <c r="I747" s="86">
        <v>746</v>
      </c>
      <c r="J747" s="87">
        <v>0.15445768449532959</v>
      </c>
      <c r="K747" s="87">
        <v>4.2284639554351324</v>
      </c>
    </row>
    <row r="748" spans="9:11" x14ac:dyDescent="0.25">
      <c r="I748" s="86">
        <v>747</v>
      </c>
      <c r="J748" s="87">
        <v>-1.4607695109588184</v>
      </c>
      <c r="K748" s="87">
        <v>6.5497737887219838</v>
      </c>
    </row>
    <row r="749" spans="9:11" x14ac:dyDescent="0.25">
      <c r="I749" s="86">
        <v>748</v>
      </c>
      <c r="J749" s="87">
        <v>3.7217834360968611</v>
      </c>
      <c r="K749" s="87">
        <v>8.2487737560881875</v>
      </c>
    </row>
    <row r="750" spans="9:11" x14ac:dyDescent="0.25">
      <c r="I750" s="86">
        <v>749</v>
      </c>
      <c r="J750" s="87">
        <v>1.6417361923247165</v>
      </c>
      <c r="K750" s="87">
        <v>5.2115504056265767</v>
      </c>
    </row>
    <row r="751" spans="9:11" x14ac:dyDescent="0.25">
      <c r="I751" s="86">
        <v>750</v>
      </c>
      <c r="J751" s="87">
        <v>0.8064228109409739</v>
      </c>
      <c r="K751" s="87">
        <v>5.3622789511488245</v>
      </c>
    </row>
    <row r="752" spans="9:11" x14ac:dyDescent="0.25">
      <c r="I752" s="86">
        <v>751</v>
      </c>
      <c r="J752" s="87">
        <v>2.0945093446847363</v>
      </c>
      <c r="K752" s="87">
        <v>7.6186601406557193</v>
      </c>
    </row>
    <row r="753" spans="9:11" x14ac:dyDescent="0.25">
      <c r="I753" s="86">
        <v>752</v>
      </c>
      <c r="J753" s="87">
        <v>6.0439130560996075</v>
      </c>
      <c r="K753" s="87">
        <v>8.9060266663562526</v>
      </c>
    </row>
    <row r="754" spans="9:11" x14ac:dyDescent="0.25">
      <c r="I754" s="86">
        <v>753</v>
      </c>
      <c r="J754" s="87">
        <v>-0.17929738581945287</v>
      </c>
      <c r="K754" s="87">
        <v>5.6464618084185929</v>
      </c>
    </row>
    <row r="755" spans="9:11" x14ac:dyDescent="0.25">
      <c r="I755" s="86">
        <v>754</v>
      </c>
      <c r="J755" s="87">
        <v>1.9707223254979622</v>
      </c>
      <c r="K755" s="87">
        <v>6.217002249413027</v>
      </c>
    </row>
    <row r="756" spans="9:11" x14ac:dyDescent="0.25">
      <c r="I756" s="86">
        <v>755</v>
      </c>
      <c r="J756" s="87">
        <v>7.1271870973802525</v>
      </c>
      <c r="K756" s="87">
        <v>9.8665528975909513</v>
      </c>
    </row>
    <row r="757" spans="9:11" x14ac:dyDescent="0.25">
      <c r="I757" s="86">
        <v>756</v>
      </c>
      <c r="J757" s="87">
        <v>1.1469599993383666</v>
      </c>
      <c r="K757" s="87">
        <v>7.9759220776414006</v>
      </c>
    </row>
    <row r="758" spans="9:11" x14ac:dyDescent="0.25">
      <c r="I758" s="86">
        <v>757</v>
      </c>
      <c r="J758" s="87">
        <v>1.7803238131644505</v>
      </c>
      <c r="K758" s="87">
        <v>7.8664481563007955</v>
      </c>
    </row>
    <row r="759" spans="9:11" x14ac:dyDescent="0.25">
      <c r="I759" s="86">
        <v>758</v>
      </c>
      <c r="J759" s="87">
        <v>-0.98025714558180965</v>
      </c>
      <c r="K759" s="87">
        <v>5.1490264482804706</v>
      </c>
    </row>
    <row r="760" spans="9:11" x14ac:dyDescent="0.25">
      <c r="I760" s="86">
        <v>759</v>
      </c>
      <c r="J760" s="87">
        <v>0.27831909502961771</v>
      </c>
      <c r="K760" s="87">
        <v>5.8519792467417018</v>
      </c>
    </row>
    <row r="761" spans="9:11" x14ac:dyDescent="0.25">
      <c r="I761" s="86">
        <v>760</v>
      </c>
      <c r="J761" s="87">
        <v>1.6851093803256658</v>
      </c>
      <c r="K761" s="87">
        <v>7.4749163882989604</v>
      </c>
    </row>
    <row r="762" spans="9:11" x14ac:dyDescent="0.25">
      <c r="I762" s="86">
        <v>761</v>
      </c>
      <c r="J762" s="87">
        <v>-1.1167880259566925</v>
      </c>
      <c r="K762" s="87">
        <v>5.0779983995561615</v>
      </c>
    </row>
    <row r="763" spans="9:11" x14ac:dyDescent="0.25">
      <c r="I763" s="86">
        <v>762</v>
      </c>
      <c r="J763" s="87">
        <v>2.3603563899299003</v>
      </c>
      <c r="K763" s="87">
        <v>6.6705574038769004</v>
      </c>
    </row>
    <row r="764" spans="9:11" x14ac:dyDescent="0.25">
      <c r="I764" s="86">
        <v>763</v>
      </c>
      <c r="J764" s="87">
        <v>1.4981138403417704</v>
      </c>
      <c r="K764" s="87">
        <v>5.4671339763716871</v>
      </c>
    </row>
    <row r="765" spans="9:11" x14ac:dyDescent="0.25">
      <c r="I765" s="86">
        <v>764</v>
      </c>
      <c r="J765" s="87">
        <v>4.8562380268329601</v>
      </c>
      <c r="K765" s="87">
        <v>7.6099786643184348</v>
      </c>
    </row>
    <row r="766" spans="9:11" x14ac:dyDescent="0.25">
      <c r="I766" s="86">
        <v>765</v>
      </c>
      <c r="J766" s="87">
        <v>1.9738910341208236</v>
      </c>
      <c r="K766" s="87">
        <v>7.4794638300931426</v>
      </c>
    </row>
    <row r="767" spans="9:11" x14ac:dyDescent="0.25">
      <c r="I767" s="86">
        <v>766</v>
      </c>
      <c r="J767" s="87">
        <v>1.152515955360875</v>
      </c>
      <c r="K767" s="87">
        <v>7.0426849145582935</v>
      </c>
    </row>
    <row r="768" spans="9:11" x14ac:dyDescent="0.25">
      <c r="I768" s="86">
        <v>767</v>
      </c>
      <c r="J768" s="87">
        <v>3.9599072322498579</v>
      </c>
      <c r="K768" s="87">
        <v>9.6856626593457662</v>
      </c>
    </row>
    <row r="769" spans="9:11" x14ac:dyDescent="0.25">
      <c r="I769" s="86">
        <v>768</v>
      </c>
      <c r="J769" s="87">
        <v>0.81913756324529086</v>
      </c>
      <c r="K769" s="87">
        <v>5.8555981071034946</v>
      </c>
    </row>
    <row r="770" spans="9:11" x14ac:dyDescent="0.25">
      <c r="I770" s="86">
        <v>769</v>
      </c>
      <c r="J770" s="87">
        <v>3.7388096121959729</v>
      </c>
      <c r="K770" s="87">
        <v>5.2194610304438873</v>
      </c>
    </row>
    <row r="771" spans="9:11" x14ac:dyDescent="0.25">
      <c r="I771" s="86">
        <v>770</v>
      </c>
      <c r="J771" s="87">
        <v>0.8819588698227312</v>
      </c>
      <c r="K771" s="87">
        <v>6.2551820993231146</v>
      </c>
    </row>
    <row r="772" spans="9:11" x14ac:dyDescent="0.25">
      <c r="I772" s="86">
        <v>771</v>
      </c>
      <c r="J772" s="87">
        <v>8.2845131816615236E-2</v>
      </c>
      <c r="K772" s="87">
        <v>5.30041001012862</v>
      </c>
    </row>
    <row r="773" spans="9:11" x14ac:dyDescent="0.25">
      <c r="I773" s="86">
        <v>772</v>
      </c>
      <c r="J773" s="87">
        <v>0.83093803389594711</v>
      </c>
      <c r="K773" s="87">
        <v>5.8796159170302333</v>
      </c>
    </row>
    <row r="774" spans="9:11" x14ac:dyDescent="0.25">
      <c r="I774" s="86">
        <v>773</v>
      </c>
      <c r="J774" s="87">
        <v>3.2498709600469509</v>
      </c>
      <c r="K774" s="87">
        <v>8.620456030854811</v>
      </c>
    </row>
    <row r="775" spans="9:11" x14ac:dyDescent="0.25">
      <c r="I775" s="86">
        <v>774</v>
      </c>
      <c r="J775" s="87">
        <v>-0.17317935976358445</v>
      </c>
      <c r="K775" s="87">
        <v>7.4330136341624407</v>
      </c>
    </row>
    <row r="776" spans="9:11" x14ac:dyDescent="0.25">
      <c r="I776" s="86">
        <v>775</v>
      </c>
      <c r="J776" s="87">
        <v>0.1737024212064604</v>
      </c>
      <c r="K776" s="87">
        <v>7.0237150189213144</v>
      </c>
    </row>
    <row r="777" spans="9:11" x14ac:dyDescent="0.25">
      <c r="I777" s="86">
        <v>776</v>
      </c>
      <c r="J777" s="87">
        <v>2.3781156403530694</v>
      </c>
      <c r="K777" s="87">
        <v>8.0125656417703244</v>
      </c>
    </row>
    <row r="778" spans="9:11" x14ac:dyDescent="0.25">
      <c r="I778" s="86">
        <v>777</v>
      </c>
      <c r="J778" s="87">
        <v>4.0890347072213276</v>
      </c>
      <c r="K778" s="87">
        <v>7.6975434609911826</v>
      </c>
    </row>
    <row r="779" spans="9:11" x14ac:dyDescent="0.25">
      <c r="I779" s="86">
        <v>778</v>
      </c>
      <c r="J779" s="87">
        <v>0.32464469342783042</v>
      </c>
      <c r="K779" s="87">
        <v>4.0685808411805873</v>
      </c>
    </row>
    <row r="780" spans="9:11" x14ac:dyDescent="0.25">
      <c r="I780" s="86">
        <v>779</v>
      </c>
      <c r="J780" s="87">
        <v>-1.4005715047550469</v>
      </c>
      <c r="K780" s="87">
        <v>5.9675125156715794</v>
      </c>
    </row>
    <row r="781" spans="9:11" x14ac:dyDescent="0.25">
      <c r="I781" s="86">
        <v>780</v>
      </c>
      <c r="J781" s="87">
        <v>0.43106333262289098</v>
      </c>
      <c r="K781" s="87">
        <v>6.3100516341081407</v>
      </c>
    </row>
    <row r="782" spans="9:11" x14ac:dyDescent="0.25">
      <c r="I782" s="86">
        <v>781</v>
      </c>
      <c r="J782" s="87">
        <v>1.9961865847913423</v>
      </c>
      <c r="K782" s="87">
        <v>7.0336704862407382</v>
      </c>
    </row>
    <row r="783" spans="9:11" x14ac:dyDescent="0.25">
      <c r="I783" s="86">
        <v>782</v>
      </c>
      <c r="J783" s="87">
        <v>1.6815212579183458</v>
      </c>
      <c r="K783" s="87">
        <v>5.7452537199656177</v>
      </c>
    </row>
    <row r="784" spans="9:11" x14ac:dyDescent="0.25">
      <c r="I784" s="86">
        <v>783</v>
      </c>
      <c r="J784" s="87">
        <v>2.2984454832686243</v>
      </c>
      <c r="K784" s="87">
        <v>7.6346344103777026</v>
      </c>
    </row>
    <row r="785" spans="9:11" x14ac:dyDescent="0.25">
      <c r="I785" s="86">
        <v>784</v>
      </c>
      <c r="J785" s="87">
        <v>1.7900411782569652</v>
      </c>
      <c r="K785" s="87">
        <v>7.3461230037527292</v>
      </c>
    </row>
    <row r="786" spans="9:11" x14ac:dyDescent="0.25">
      <c r="I786" s="86">
        <v>785</v>
      </c>
      <c r="J786" s="87">
        <v>1.6935394271016495</v>
      </c>
      <c r="K786" s="87">
        <v>6.5188348155932259</v>
      </c>
    </row>
    <row r="787" spans="9:11" x14ac:dyDescent="0.25">
      <c r="I787" s="86">
        <v>786</v>
      </c>
      <c r="J787" s="87">
        <v>0.50185376329663844</v>
      </c>
      <c r="K787" s="87">
        <v>5.0854379228467517</v>
      </c>
    </row>
    <row r="788" spans="9:11" x14ac:dyDescent="0.25">
      <c r="I788" s="86">
        <v>787</v>
      </c>
      <c r="J788" s="87">
        <v>1.8558414931008622</v>
      </c>
      <c r="K788" s="87">
        <v>6.2464580796364766</v>
      </c>
    </row>
    <row r="789" spans="9:11" x14ac:dyDescent="0.25">
      <c r="I789" s="86">
        <v>788</v>
      </c>
      <c r="J789" s="87">
        <v>2.6272262908900004</v>
      </c>
      <c r="K789" s="87">
        <v>7.4777454632236431</v>
      </c>
    </row>
    <row r="790" spans="9:11" x14ac:dyDescent="0.25">
      <c r="I790" s="86">
        <v>789</v>
      </c>
      <c r="J790" s="87">
        <v>1.6871393964475043</v>
      </c>
      <c r="K790" s="87">
        <v>6.410369222252724</v>
      </c>
    </row>
    <row r="791" spans="9:11" x14ac:dyDescent="0.25">
      <c r="I791" s="86">
        <v>790</v>
      </c>
      <c r="J791" s="87">
        <v>3.2051639896224744</v>
      </c>
      <c r="K791" s="87">
        <v>7.2163831723488316</v>
      </c>
    </row>
    <row r="792" spans="9:11" x14ac:dyDescent="0.25">
      <c r="I792" s="86">
        <v>791</v>
      </c>
      <c r="J792" s="87">
        <v>0.7376469892112949</v>
      </c>
      <c r="K792" s="87">
        <v>6.4786892158996814</v>
      </c>
    </row>
    <row r="793" spans="9:11" x14ac:dyDescent="0.25">
      <c r="I793" s="86">
        <v>792</v>
      </c>
      <c r="J793" s="87">
        <v>0.45077685764418085</v>
      </c>
      <c r="K793" s="87">
        <v>5.8883489569733989</v>
      </c>
    </row>
    <row r="794" spans="9:11" x14ac:dyDescent="0.25">
      <c r="I794" s="86">
        <v>793</v>
      </c>
      <c r="J794" s="87">
        <v>1.4460439900564466</v>
      </c>
      <c r="K794" s="87">
        <v>4.8733570222612448</v>
      </c>
    </row>
    <row r="795" spans="9:11" x14ac:dyDescent="0.25">
      <c r="I795" s="86">
        <v>794</v>
      </c>
      <c r="J795" s="87">
        <v>0.52183333667894338</v>
      </c>
      <c r="K795" s="87">
        <v>6.3587948759199318</v>
      </c>
    </row>
    <row r="796" spans="9:11" x14ac:dyDescent="0.25">
      <c r="I796" s="86">
        <v>795</v>
      </c>
      <c r="J796" s="87">
        <v>-1.1113960877162148</v>
      </c>
      <c r="K796" s="87">
        <v>5.2588734906526993</v>
      </c>
    </row>
    <row r="797" spans="9:11" x14ac:dyDescent="0.25">
      <c r="I797" s="86">
        <v>796</v>
      </c>
      <c r="J797" s="87">
        <v>-1.1900123839056471</v>
      </c>
      <c r="K797" s="87">
        <v>5.9935969583514881</v>
      </c>
    </row>
    <row r="798" spans="9:11" x14ac:dyDescent="0.25">
      <c r="I798" s="86">
        <v>797</v>
      </c>
      <c r="J798" s="87">
        <v>2.1158598684093963</v>
      </c>
      <c r="K798" s="87">
        <v>6.5490589712683134</v>
      </c>
    </row>
    <row r="799" spans="9:11" x14ac:dyDescent="0.25">
      <c r="I799" s="86">
        <v>798</v>
      </c>
      <c r="J799" s="87">
        <v>4.6015681349543627</v>
      </c>
      <c r="K799" s="87">
        <v>9.7478095881733378</v>
      </c>
    </row>
    <row r="800" spans="9:11" x14ac:dyDescent="0.25">
      <c r="I800" s="86">
        <v>799</v>
      </c>
      <c r="J800" s="87">
        <v>2.6404871005579498</v>
      </c>
      <c r="K800" s="87">
        <v>8.2896779943417762</v>
      </c>
    </row>
    <row r="801" spans="9:11" x14ac:dyDescent="0.25">
      <c r="I801" s="86">
        <v>800</v>
      </c>
      <c r="J801" s="87">
        <v>1.4801680293884152</v>
      </c>
      <c r="K801" s="87">
        <v>7.5674033300833976</v>
      </c>
    </row>
    <row r="802" spans="9:11" x14ac:dyDescent="0.25">
      <c r="I802" s="86">
        <v>801</v>
      </c>
      <c r="J802" s="87">
        <v>-0.99176579724923641</v>
      </c>
      <c r="K802" s="87">
        <v>5.6653661781515776</v>
      </c>
    </row>
    <row r="803" spans="9:11" x14ac:dyDescent="0.25">
      <c r="I803" s="86">
        <v>802</v>
      </c>
      <c r="J803" s="87">
        <v>7.5173067825231605</v>
      </c>
      <c r="K803" s="87">
        <v>11.325673456686859</v>
      </c>
    </row>
    <row r="804" spans="9:11" x14ac:dyDescent="0.25">
      <c r="I804" s="86">
        <v>803</v>
      </c>
      <c r="J804" s="87">
        <v>1.6423559773182896</v>
      </c>
      <c r="K804" s="87">
        <v>5.8816987322459537</v>
      </c>
    </row>
    <row r="805" spans="9:11" x14ac:dyDescent="0.25">
      <c r="I805" s="86">
        <v>804</v>
      </c>
      <c r="J805" s="87">
        <v>2.3549472318730711</v>
      </c>
      <c r="K805" s="87">
        <v>6.9594320143734851</v>
      </c>
    </row>
    <row r="806" spans="9:11" x14ac:dyDescent="0.25">
      <c r="I806" s="86">
        <v>805</v>
      </c>
      <c r="J806" s="87">
        <v>-1.7381646899398007</v>
      </c>
      <c r="K806" s="87">
        <v>4.710627265661679</v>
      </c>
    </row>
    <row r="807" spans="9:11" x14ac:dyDescent="0.25">
      <c r="I807" s="86">
        <v>806</v>
      </c>
      <c r="J807" s="87">
        <v>1.9173760410256646</v>
      </c>
      <c r="K807" s="87">
        <v>8.5713992874297649</v>
      </c>
    </row>
    <row r="808" spans="9:11" x14ac:dyDescent="0.25">
      <c r="I808" s="86">
        <v>807</v>
      </c>
      <c r="J808" s="87">
        <v>-0.52670460720825485</v>
      </c>
      <c r="K808" s="87">
        <v>6.3100230769948071</v>
      </c>
    </row>
    <row r="809" spans="9:11" x14ac:dyDescent="0.25">
      <c r="I809" s="86">
        <v>808</v>
      </c>
      <c r="J809" s="87">
        <v>3.1168922361834026</v>
      </c>
      <c r="K809" s="87">
        <v>6.5109895533509112</v>
      </c>
    </row>
    <row r="810" spans="9:11" x14ac:dyDescent="0.25">
      <c r="I810" s="86">
        <v>809</v>
      </c>
      <c r="J810" s="87">
        <v>-0.40227439341605642</v>
      </c>
      <c r="K810" s="87">
        <v>5.5185605473830064</v>
      </c>
    </row>
    <row r="811" spans="9:11" x14ac:dyDescent="0.25">
      <c r="I811" s="86">
        <v>810</v>
      </c>
      <c r="J811" s="87">
        <v>4.3841130162482607</v>
      </c>
      <c r="K811" s="87">
        <v>8.2988013034463357</v>
      </c>
    </row>
    <row r="812" spans="9:11" x14ac:dyDescent="0.25">
      <c r="I812" s="86">
        <v>811</v>
      </c>
      <c r="J812" s="87">
        <v>0.41409231227061039</v>
      </c>
      <c r="K812" s="87">
        <v>5.3577490010065931</v>
      </c>
    </row>
    <row r="813" spans="9:11" x14ac:dyDescent="0.25">
      <c r="I813" s="86">
        <v>812</v>
      </c>
      <c r="J813" s="87">
        <v>0.18858904866083659</v>
      </c>
      <c r="K813" s="87">
        <v>5.3228751606368796</v>
      </c>
    </row>
    <row r="814" spans="9:11" x14ac:dyDescent="0.25">
      <c r="I814" s="86">
        <v>813</v>
      </c>
      <c r="J814" s="87">
        <v>2.165041792649566</v>
      </c>
      <c r="K814" s="87">
        <v>9.2569688529354899</v>
      </c>
    </row>
    <row r="815" spans="9:11" x14ac:dyDescent="0.25">
      <c r="I815" s="86">
        <v>814</v>
      </c>
      <c r="J815" s="87">
        <v>3.5769480169530361</v>
      </c>
      <c r="K815" s="87">
        <v>10.229403289320128</v>
      </c>
    </row>
    <row r="816" spans="9:11" x14ac:dyDescent="0.25">
      <c r="I816" s="86">
        <v>815</v>
      </c>
      <c r="J816" s="87">
        <v>0.87902418965011897</v>
      </c>
      <c r="K816" s="87">
        <v>6.5304722925230152</v>
      </c>
    </row>
    <row r="817" spans="9:11" x14ac:dyDescent="0.25">
      <c r="I817" s="86">
        <v>816</v>
      </c>
      <c r="J817" s="87">
        <v>-0.67642696158398863</v>
      </c>
      <c r="K817" s="87">
        <v>5.5032302361015883</v>
      </c>
    </row>
    <row r="818" spans="9:11" x14ac:dyDescent="0.25">
      <c r="I818" s="86">
        <v>817</v>
      </c>
      <c r="J818" s="87">
        <v>-0.62485023397749728</v>
      </c>
      <c r="K818" s="87">
        <v>5.4435547303132319</v>
      </c>
    </row>
    <row r="819" spans="9:11" x14ac:dyDescent="0.25">
      <c r="I819" s="86">
        <v>818</v>
      </c>
      <c r="J819" s="87">
        <v>0.96165206446723772</v>
      </c>
      <c r="K819" s="87">
        <v>7.5999126456871293</v>
      </c>
    </row>
    <row r="820" spans="9:11" x14ac:dyDescent="0.25">
      <c r="I820" s="86">
        <v>819</v>
      </c>
      <c r="J820" s="87">
        <v>4.279163954327835</v>
      </c>
      <c r="K820" s="87">
        <v>6.5037170901006158</v>
      </c>
    </row>
    <row r="821" spans="9:11" x14ac:dyDescent="0.25">
      <c r="I821" s="86">
        <v>820</v>
      </c>
      <c r="J821" s="87">
        <v>0.74203491681999445</v>
      </c>
      <c r="K821" s="87">
        <v>6.8385275489262636</v>
      </c>
    </row>
    <row r="822" spans="9:11" x14ac:dyDescent="0.25">
      <c r="I822" s="86">
        <v>821</v>
      </c>
      <c r="J822" s="87">
        <v>2.4065550111253122</v>
      </c>
      <c r="K822" s="87">
        <v>6.3522049113640602</v>
      </c>
    </row>
    <row r="823" spans="9:11" x14ac:dyDescent="0.25">
      <c r="I823" s="86">
        <v>822</v>
      </c>
      <c r="J823" s="87">
        <v>1.9725435418950834</v>
      </c>
      <c r="K823" s="87">
        <v>7.0029845352724207</v>
      </c>
    </row>
    <row r="824" spans="9:11" x14ac:dyDescent="0.25">
      <c r="I824" s="86">
        <v>823</v>
      </c>
      <c r="J824" s="87">
        <v>2.3456254815117665</v>
      </c>
      <c r="K824" s="87">
        <v>6.5447190296479594</v>
      </c>
    </row>
    <row r="825" spans="9:11" x14ac:dyDescent="0.25">
      <c r="I825" s="86">
        <v>824</v>
      </c>
      <c r="J825" s="87">
        <v>-3.8463396594691002E-2</v>
      </c>
      <c r="K825" s="87">
        <v>4.6701264449865141</v>
      </c>
    </row>
    <row r="826" spans="9:11" x14ac:dyDescent="0.25">
      <c r="I826" s="86">
        <v>825</v>
      </c>
      <c r="J826" s="87">
        <v>1.0470882043504637</v>
      </c>
      <c r="K826" s="87">
        <v>5.2303660611559204</v>
      </c>
    </row>
    <row r="827" spans="9:11" x14ac:dyDescent="0.25">
      <c r="I827" s="86">
        <v>826</v>
      </c>
      <c r="J827" s="87">
        <v>-1.046889117548595</v>
      </c>
      <c r="K827" s="87">
        <v>5.724726437003623</v>
      </c>
    </row>
    <row r="828" spans="9:11" x14ac:dyDescent="0.25">
      <c r="I828" s="86">
        <v>827</v>
      </c>
      <c r="J828" s="87">
        <v>-0.98981073495843974</v>
      </c>
      <c r="K828" s="87">
        <v>4.5876337238348093</v>
      </c>
    </row>
    <row r="829" spans="9:11" x14ac:dyDescent="0.25">
      <c r="I829" s="86">
        <v>828</v>
      </c>
      <c r="J829" s="87">
        <v>4.3484902701760397</v>
      </c>
      <c r="K829" s="87">
        <v>9.9894609760280524</v>
      </c>
    </row>
    <row r="830" spans="9:11" x14ac:dyDescent="0.25">
      <c r="I830" s="86">
        <v>829</v>
      </c>
      <c r="J830" s="87">
        <v>1.5890992700465567</v>
      </c>
      <c r="K830" s="87">
        <v>6.5421375364122989</v>
      </c>
    </row>
    <row r="831" spans="9:11" x14ac:dyDescent="0.25">
      <c r="I831" s="86">
        <v>830</v>
      </c>
      <c r="J831" s="87">
        <v>-0.65587385872954851</v>
      </c>
      <c r="K831" s="87">
        <v>4.8303701585341141</v>
      </c>
    </row>
    <row r="832" spans="9:11" x14ac:dyDescent="0.25">
      <c r="I832" s="86">
        <v>831</v>
      </c>
      <c r="J832" s="87">
        <v>3.9567777519817611</v>
      </c>
      <c r="K832" s="87">
        <v>6.2079821537545019</v>
      </c>
    </row>
    <row r="833" spans="9:11" x14ac:dyDescent="0.25">
      <c r="I833" s="86">
        <v>832</v>
      </c>
      <c r="J833" s="87">
        <v>2.8287962768564263</v>
      </c>
      <c r="K833" s="87">
        <v>6.9744891791892538</v>
      </c>
    </row>
    <row r="834" spans="9:11" x14ac:dyDescent="0.25">
      <c r="I834" s="86">
        <v>833</v>
      </c>
      <c r="J834" s="87">
        <v>1.3613681387208478</v>
      </c>
      <c r="K834" s="87">
        <v>7.0075025977305403</v>
      </c>
    </row>
    <row r="835" spans="9:11" x14ac:dyDescent="0.25">
      <c r="I835" s="86">
        <v>834</v>
      </c>
      <c r="J835" s="87">
        <v>1.4764334645994417</v>
      </c>
      <c r="K835" s="87">
        <v>5.6366797204023165</v>
      </c>
    </row>
    <row r="836" spans="9:11" x14ac:dyDescent="0.25">
      <c r="I836" s="86">
        <v>835</v>
      </c>
      <c r="J836" s="87">
        <v>0.58468483743485233</v>
      </c>
      <c r="K836" s="87">
        <v>6.7017896393155469</v>
      </c>
    </row>
    <row r="837" spans="9:11" x14ac:dyDescent="0.25">
      <c r="I837" s="86">
        <v>836</v>
      </c>
      <c r="J837" s="87">
        <v>4.6034054865669454</v>
      </c>
      <c r="K837" s="87">
        <v>9.1764368640509328</v>
      </c>
    </row>
    <row r="838" spans="9:11" x14ac:dyDescent="0.25">
      <c r="I838" s="86">
        <v>837</v>
      </c>
      <c r="J838" s="87">
        <v>2.3756703337171157</v>
      </c>
      <c r="K838" s="87">
        <v>7.7868589994511046</v>
      </c>
    </row>
    <row r="839" spans="9:11" x14ac:dyDescent="0.25">
      <c r="I839" s="86">
        <v>838</v>
      </c>
      <c r="J839" s="87">
        <v>0.45264929408808907</v>
      </c>
      <c r="K839" s="87">
        <v>5.7875737085394494</v>
      </c>
    </row>
    <row r="840" spans="9:11" x14ac:dyDescent="0.25">
      <c r="I840" s="86">
        <v>839</v>
      </c>
      <c r="J840" s="87">
        <v>3.0407983667926235</v>
      </c>
      <c r="K840" s="87">
        <v>9.1124566839220105</v>
      </c>
    </row>
    <row r="841" spans="9:11" x14ac:dyDescent="0.25">
      <c r="I841" s="86">
        <v>840</v>
      </c>
      <c r="J841" s="87">
        <v>5.4305953511899583</v>
      </c>
      <c r="K841" s="87">
        <v>6.0159046224990291</v>
      </c>
    </row>
    <row r="842" spans="9:11" x14ac:dyDescent="0.25">
      <c r="I842" s="86">
        <v>841</v>
      </c>
      <c r="J842" s="87">
        <v>8.7874231953831483E-2</v>
      </c>
      <c r="K842" s="87">
        <v>6.7549391041606501</v>
      </c>
    </row>
    <row r="843" spans="9:11" x14ac:dyDescent="0.25">
      <c r="I843" s="86">
        <v>842</v>
      </c>
      <c r="J843" s="87">
        <v>2.1678133014598941</v>
      </c>
      <c r="K843" s="87">
        <v>6.7236129036358694</v>
      </c>
    </row>
    <row r="844" spans="9:11" x14ac:dyDescent="0.25">
      <c r="I844" s="86">
        <v>843</v>
      </c>
      <c r="J844" s="87">
        <v>0.23777958885270856</v>
      </c>
      <c r="K844" s="87">
        <v>6.6975450994235528</v>
      </c>
    </row>
    <row r="845" spans="9:11" x14ac:dyDescent="0.25">
      <c r="I845" s="86">
        <v>844</v>
      </c>
      <c r="J845" s="87">
        <v>-0.3024443402122321</v>
      </c>
      <c r="K845" s="87">
        <v>5.2819910493653195</v>
      </c>
    </row>
    <row r="846" spans="9:11" x14ac:dyDescent="0.25">
      <c r="I846" s="86">
        <v>845</v>
      </c>
      <c r="J846" s="87">
        <v>3.0985678704124675</v>
      </c>
      <c r="K846" s="87">
        <v>7.49782538920104</v>
      </c>
    </row>
    <row r="847" spans="9:11" x14ac:dyDescent="0.25">
      <c r="I847" s="86">
        <v>846</v>
      </c>
      <c r="J847" s="87">
        <v>0.23284786737691654</v>
      </c>
      <c r="K847" s="87">
        <v>5.4007952093830536</v>
      </c>
    </row>
    <row r="848" spans="9:11" x14ac:dyDescent="0.25">
      <c r="I848" s="86">
        <v>847</v>
      </c>
      <c r="J848" s="87">
        <v>-0.41727560515656226</v>
      </c>
      <c r="K848" s="87">
        <v>5.7014020663203331</v>
      </c>
    </row>
    <row r="849" spans="9:11" x14ac:dyDescent="0.25">
      <c r="I849" s="86">
        <v>848</v>
      </c>
      <c r="J849" s="87">
        <v>2.3310140532458155</v>
      </c>
      <c r="K849" s="87">
        <v>6.6111209599892318</v>
      </c>
    </row>
    <row r="850" spans="9:11" x14ac:dyDescent="0.25">
      <c r="I850" s="86">
        <v>849</v>
      </c>
      <c r="J850" s="87">
        <v>1.4880811001416605</v>
      </c>
      <c r="K850" s="87">
        <v>6.0758667661654355</v>
      </c>
    </row>
    <row r="851" spans="9:11" x14ac:dyDescent="0.25">
      <c r="I851" s="86">
        <v>850</v>
      </c>
      <c r="J851" s="87">
        <v>-0.91110538602168623</v>
      </c>
      <c r="K851" s="87">
        <v>4.7550840845579208</v>
      </c>
    </row>
    <row r="852" spans="9:11" x14ac:dyDescent="0.25">
      <c r="I852" s="86">
        <v>851</v>
      </c>
      <c r="J852" s="87">
        <v>1.4010921813319808</v>
      </c>
      <c r="K852" s="87">
        <v>6.9758795334431323</v>
      </c>
    </row>
    <row r="853" spans="9:11" x14ac:dyDescent="0.25">
      <c r="I853" s="86">
        <v>852</v>
      </c>
      <c r="J853" s="87">
        <v>-0.78151424352073739</v>
      </c>
      <c r="K853" s="87">
        <v>5.3601022630743804</v>
      </c>
    </row>
    <row r="854" spans="9:11" x14ac:dyDescent="0.25">
      <c r="I854" s="86">
        <v>853</v>
      </c>
      <c r="J854" s="87">
        <v>1.3176390990527196</v>
      </c>
      <c r="K854" s="87">
        <v>5.5823122981168458</v>
      </c>
    </row>
    <row r="855" spans="9:11" x14ac:dyDescent="0.25">
      <c r="I855" s="86">
        <v>854</v>
      </c>
      <c r="J855" s="87">
        <v>1.3493822806443658</v>
      </c>
      <c r="K855" s="87">
        <v>6.5628383273047053</v>
      </c>
    </row>
    <row r="856" spans="9:11" x14ac:dyDescent="0.25">
      <c r="I856" s="86">
        <v>855</v>
      </c>
      <c r="J856" s="87">
        <v>-1.0313041525732158</v>
      </c>
      <c r="K856" s="87">
        <v>4.4279771103071193</v>
      </c>
    </row>
    <row r="857" spans="9:11" x14ac:dyDescent="0.25">
      <c r="I857" s="86">
        <v>856</v>
      </c>
      <c r="J857" s="87">
        <v>-5.8771764792195924E-3</v>
      </c>
      <c r="K857" s="87">
        <v>5.9904505696711192</v>
      </c>
    </row>
    <row r="858" spans="9:11" x14ac:dyDescent="0.25">
      <c r="I858" s="86">
        <v>857</v>
      </c>
      <c r="J858" s="87">
        <v>0.5194255881469152</v>
      </c>
      <c r="K858" s="87">
        <v>5.9117872902916284</v>
      </c>
    </row>
    <row r="859" spans="9:11" x14ac:dyDescent="0.25">
      <c r="I859" s="86">
        <v>858</v>
      </c>
      <c r="J859" s="87">
        <v>4.7406687171774049</v>
      </c>
      <c r="K859" s="87">
        <v>7.5888630079341342</v>
      </c>
    </row>
    <row r="860" spans="9:11" x14ac:dyDescent="0.25">
      <c r="I860" s="86">
        <v>859</v>
      </c>
      <c r="J860" s="87">
        <v>1.424663066529972</v>
      </c>
      <c r="K860" s="87">
        <v>5.45110167062216</v>
      </c>
    </row>
    <row r="861" spans="9:11" x14ac:dyDescent="0.25">
      <c r="I861" s="86">
        <v>860</v>
      </c>
      <c r="J861" s="87">
        <v>1.4839250648798354</v>
      </c>
      <c r="K861" s="87">
        <v>5.8863812517477809</v>
      </c>
    </row>
    <row r="862" spans="9:11" x14ac:dyDescent="0.25">
      <c r="I862" s="86">
        <v>861</v>
      </c>
      <c r="J862" s="87">
        <v>3.6543659714498471</v>
      </c>
      <c r="K862" s="87">
        <v>9.2372551009976434</v>
      </c>
    </row>
    <row r="863" spans="9:11" x14ac:dyDescent="0.25">
      <c r="I863" s="86">
        <v>862</v>
      </c>
      <c r="J863" s="87">
        <v>-0.61771323799710842</v>
      </c>
      <c r="K863" s="87">
        <v>5.1648046293722825</v>
      </c>
    </row>
    <row r="864" spans="9:11" x14ac:dyDescent="0.25">
      <c r="I864" s="86">
        <v>863</v>
      </c>
      <c r="J864" s="87">
        <v>0.19352566492894319</v>
      </c>
      <c r="K864" s="87">
        <v>6.3006925044967632</v>
      </c>
    </row>
    <row r="865" spans="9:11" x14ac:dyDescent="0.25">
      <c r="I865" s="86">
        <v>864</v>
      </c>
      <c r="J865" s="87">
        <v>0.456458204501061</v>
      </c>
      <c r="K865" s="87">
        <v>5.477173077175256</v>
      </c>
    </row>
    <row r="866" spans="9:11" x14ac:dyDescent="0.25">
      <c r="I866" s="86">
        <v>865</v>
      </c>
      <c r="J866" s="87">
        <v>2.0397867109322192</v>
      </c>
      <c r="K866" s="87">
        <v>6.7047163440152788</v>
      </c>
    </row>
    <row r="867" spans="9:11" x14ac:dyDescent="0.25">
      <c r="I867" s="86">
        <v>866</v>
      </c>
      <c r="J867" s="87">
        <v>4.7232521169886397</v>
      </c>
      <c r="K867" s="87">
        <v>7.5391905008791227</v>
      </c>
    </row>
    <row r="868" spans="9:11" x14ac:dyDescent="0.25">
      <c r="I868" s="86">
        <v>867</v>
      </c>
      <c r="J868" s="87">
        <v>4.023579868845319</v>
      </c>
      <c r="K868" s="87">
        <v>8.5830289237046191</v>
      </c>
    </row>
    <row r="869" spans="9:11" x14ac:dyDescent="0.25">
      <c r="I869" s="86">
        <v>868</v>
      </c>
      <c r="J869" s="87">
        <v>1.6726296038731379</v>
      </c>
      <c r="K869" s="87">
        <v>6.9230228930086897</v>
      </c>
    </row>
    <row r="870" spans="9:11" x14ac:dyDescent="0.25">
      <c r="I870" s="86">
        <v>869</v>
      </c>
      <c r="J870" s="87">
        <v>-0.15286638999878388</v>
      </c>
      <c r="K870" s="87">
        <v>6.0480296799968025</v>
      </c>
    </row>
    <row r="871" spans="9:11" x14ac:dyDescent="0.25">
      <c r="I871" s="86">
        <v>870</v>
      </c>
      <c r="J871" s="87">
        <v>1.7895308155493961</v>
      </c>
      <c r="K871" s="87">
        <v>8.9679575926144874</v>
      </c>
    </row>
    <row r="872" spans="9:11" x14ac:dyDescent="0.25">
      <c r="I872" s="86">
        <v>871</v>
      </c>
      <c r="J872" s="87">
        <v>4.6393358832089016</v>
      </c>
      <c r="K872" s="87">
        <v>8.4889335366096219</v>
      </c>
    </row>
    <row r="873" spans="9:11" x14ac:dyDescent="0.25">
      <c r="I873" s="86">
        <v>872</v>
      </c>
      <c r="J873" s="87">
        <v>2.5048207484357521</v>
      </c>
      <c r="K873" s="87">
        <v>8.0326213483241649</v>
      </c>
    </row>
    <row r="874" spans="9:11" x14ac:dyDescent="0.25">
      <c r="I874" s="86">
        <v>873</v>
      </c>
      <c r="J874" s="87">
        <v>-1.0406323100590287</v>
      </c>
      <c r="K874" s="87">
        <v>5.9235946028268192</v>
      </c>
    </row>
    <row r="875" spans="9:11" x14ac:dyDescent="0.25">
      <c r="I875" s="86">
        <v>874</v>
      </c>
      <c r="J875" s="87">
        <v>0.81329379085408871</v>
      </c>
      <c r="K875" s="87">
        <v>6.8558455443369191</v>
      </c>
    </row>
    <row r="876" spans="9:11" x14ac:dyDescent="0.25">
      <c r="I876" s="86">
        <v>875</v>
      </c>
      <c r="J876" s="87">
        <v>1.8263874897093282</v>
      </c>
      <c r="K876" s="87">
        <v>4.472144343889517</v>
      </c>
    </row>
    <row r="877" spans="9:11" x14ac:dyDescent="0.25">
      <c r="I877" s="86">
        <v>876</v>
      </c>
      <c r="J877" s="87">
        <v>-4.050801025245665E-2</v>
      </c>
      <c r="K877" s="87">
        <v>5.8741781800796122</v>
      </c>
    </row>
    <row r="878" spans="9:11" x14ac:dyDescent="0.25">
      <c r="I878" s="86">
        <v>877</v>
      </c>
      <c r="J878" s="87">
        <v>0.76866170938624379</v>
      </c>
      <c r="K878" s="87">
        <v>6.4888046298010833</v>
      </c>
    </row>
    <row r="879" spans="9:11" x14ac:dyDescent="0.25">
      <c r="I879" s="86">
        <v>878</v>
      </c>
      <c r="J879" s="87">
        <v>-0.15453909509113295</v>
      </c>
      <c r="K879" s="87">
        <v>4.2324726950578082</v>
      </c>
    </row>
    <row r="880" spans="9:11" x14ac:dyDescent="0.25">
      <c r="I880" s="86">
        <v>879</v>
      </c>
      <c r="J880" s="87">
        <v>2.5967870186953217</v>
      </c>
      <c r="K880" s="87">
        <v>8.4707035133861268</v>
      </c>
    </row>
    <row r="881" spans="9:11" x14ac:dyDescent="0.25">
      <c r="I881" s="86">
        <v>880</v>
      </c>
      <c r="J881" s="87">
        <v>1.5963445392728213</v>
      </c>
      <c r="K881" s="87">
        <v>6.8170876541983709</v>
      </c>
    </row>
    <row r="882" spans="9:11" x14ac:dyDescent="0.25">
      <c r="I882" s="86">
        <v>881</v>
      </c>
      <c r="J882" s="87">
        <v>4.6070880985337359</v>
      </c>
      <c r="K882" s="87">
        <v>7.429855226080921</v>
      </c>
    </row>
    <row r="883" spans="9:11" x14ac:dyDescent="0.25">
      <c r="I883" s="86">
        <v>882</v>
      </c>
      <c r="J883" s="87">
        <v>1.6566570488827739</v>
      </c>
      <c r="K883" s="87">
        <v>4.7328454985737647</v>
      </c>
    </row>
    <row r="884" spans="9:11" x14ac:dyDescent="0.25">
      <c r="I884" s="86">
        <v>883</v>
      </c>
      <c r="J884" s="87">
        <v>3.6855380372059132</v>
      </c>
      <c r="K884" s="87">
        <v>8.788079404667327</v>
      </c>
    </row>
    <row r="885" spans="9:11" x14ac:dyDescent="0.25">
      <c r="I885" s="86">
        <v>884</v>
      </c>
      <c r="J885" s="87">
        <v>2.478331530157476</v>
      </c>
      <c r="K885" s="87">
        <v>9.3615845837949436</v>
      </c>
    </row>
    <row r="886" spans="9:11" x14ac:dyDescent="0.25">
      <c r="I886" s="86">
        <v>885</v>
      </c>
      <c r="J886" s="87">
        <v>1.4400373769060439</v>
      </c>
      <c r="K886" s="87">
        <v>5.6263165962455037</v>
      </c>
    </row>
    <row r="887" spans="9:11" x14ac:dyDescent="0.25">
      <c r="I887" s="86">
        <v>886</v>
      </c>
      <c r="J887" s="87">
        <v>2.7949593516445628</v>
      </c>
      <c r="K887" s="87">
        <v>6.5723717258876517</v>
      </c>
    </row>
    <row r="888" spans="9:11" x14ac:dyDescent="0.25">
      <c r="I888" s="86">
        <v>887</v>
      </c>
      <c r="J888" s="87">
        <v>0.19701359919483696</v>
      </c>
      <c r="K888" s="87">
        <v>6.6155638742924667</v>
      </c>
    </row>
    <row r="889" spans="9:11" x14ac:dyDescent="0.25">
      <c r="I889" s="86">
        <v>888</v>
      </c>
      <c r="J889" s="87">
        <v>0.15372477861700951</v>
      </c>
      <c r="K889" s="87">
        <v>6.8343562137544902</v>
      </c>
    </row>
    <row r="890" spans="9:11" x14ac:dyDescent="0.25">
      <c r="I890" s="86">
        <v>889</v>
      </c>
      <c r="J890" s="87">
        <v>5.8525227997603047</v>
      </c>
      <c r="K890" s="87">
        <v>10.020136390781857</v>
      </c>
    </row>
    <row r="891" spans="9:11" x14ac:dyDescent="0.25">
      <c r="I891" s="86">
        <v>890</v>
      </c>
      <c r="J891" s="87">
        <v>1.9476879581291104</v>
      </c>
      <c r="K891" s="87">
        <v>7.4052192595539807</v>
      </c>
    </row>
    <row r="892" spans="9:11" x14ac:dyDescent="0.25">
      <c r="I892" s="86">
        <v>891</v>
      </c>
      <c r="J892" s="87">
        <v>0.71798765954980848</v>
      </c>
      <c r="K892" s="87">
        <v>6.0616922173000765</v>
      </c>
    </row>
    <row r="893" spans="9:11" x14ac:dyDescent="0.25">
      <c r="I893" s="86">
        <v>892</v>
      </c>
      <c r="J893" s="87">
        <v>0.84094070540872279</v>
      </c>
      <c r="K893" s="87">
        <v>5.1516040735532656</v>
      </c>
    </row>
    <row r="894" spans="9:11" x14ac:dyDescent="0.25">
      <c r="I894" s="86">
        <v>893</v>
      </c>
      <c r="J894" s="87">
        <v>2.2111462538652793</v>
      </c>
      <c r="K894" s="87">
        <v>6.9560988889072988</v>
      </c>
    </row>
    <row r="895" spans="9:11" x14ac:dyDescent="0.25">
      <c r="I895" s="86">
        <v>894</v>
      </c>
      <c r="J895" s="87">
        <v>-0.6703422780304642</v>
      </c>
      <c r="K895" s="87">
        <v>6.2411161878044688</v>
      </c>
    </row>
    <row r="896" spans="9:11" x14ac:dyDescent="0.25">
      <c r="I896" s="86">
        <v>895</v>
      </c>
      <c r="J896" s="87">
        <v>3.6422104541592084</v>
      </c>
      <c r="K896" s="87">
        <v>8.4852636842964824</v>
      </c>
    </row>
    <row r="897" spans="9:11" x14ac:dyDescent="0.25">
      <c r="I897" s="86">
        <v>896</v>
      </c>
      <c r="J897" s="87">
        <v>4.0437178087929331</v>
      </c>
      <c r="K897" s="87">
        <v>7.7891448981165983</v>
      </c>
    </row>
    <row r="898" spans="9:11" x14ac:dyDescent="0.25">
      <c r="I898" s="86">
        <v>897</v>
      </c>
      <c r="J898" s="87">
        <v>-0.80503774645844928</v>
      </c>
      <c r="K898" s="87">
        <v>4.7191050105876249</v>
      </c>
    </row>
    <row r="899" spans="9:11" x14ac:dyDescent="0.25">
      <c r="I899" s="86">
        <v>898</v>
      </c>
      <c r="J899" s="87">
        <v>0.92139399954613932</v>
      </c>
      <c r="K899" s="87">
        <v>7.4020988977698554</v>
      </c>
    </row>
    <row r="900" spans="9:11" x14ac:dyDescent="0.25">
      <c r="I900" s="86">
        <v>899</v>
      </c>
      <c r="J900" s="87">
        <v>-0.30196479512914465</v>
      </c>
      <c r="K900" s="87">
        <v>6.0003998645405652</v>
      </c>
    </row>
    <row r="901" spans="9:11" x14ac:dyDescent="0.25">
      <c r="I901" s="86">
        <v>900</v>
      </c>
      <c r="J901" s="87">
        <v>1.0767037564800166</v>
      </c>
      <c r="K901" s="87">
        <v>7.8605436707638026</v>
      </c>
    </row>
    <row r="902" spans="9:11" x14ac:dyDescent="0.25">
      <c r="I902" s="86">
        <v>901</v>
      </c>
      <c r="J902" s="87">
        <v>0.53202269356425358</v>
      </c>
      <c r="K902" s="87">
        <v>4.8079512994485301</v>
      </c>
    </row>
    <row r="903" spans="9:11" x14ac:dyDescent="0.25">
      <c r="I903" s="86">
        <v>902</v>
      </c>
      <c r="J903" s="87">
        <v>2.4580530976769914</v>
      </c>
      <c r="K903" s="87">
        <v>6.9173421061762932</v>
      </c>
    </row>
    <row r="904" spans="9:11" x14ac:dyDescent="0.25">
      <c r="I904" s="86">
        <v>903</v>
      </c>
      <c r="J904" s="87">
        <v>5.109501296422879</v>
      </c>
      <c r="K904" s="87">
        <v>10.144614224929951</v>
      </c>
    </row>
    <row r="905" spans="9:11" x14ac:dyDescent="0.25">
      <c r="I905" s="86">
        <v>904</v>
      </c>
      <c r="J905" s="87">
        <v>1.9379426414722731</v>
      </c>
      <c r="K905" s="87">
        <v>7.8658070792475678</v>
      </c>
    </row>
    <row r="906" spans="9:11" x14ac:dyDescent="0.25">
      <c r="I906" s="86">
        <v>905</v>
      </c>
      <c r="J906" s="87">
        <v>3.851952884180367</v>
      </c>
      <c r="K906" s="87">
        <v>8.5518404871274178</v>
      </c>
    </row>
    <row r="907" spans="9:11" x14ac:dyDescent="0.25">
      <c r="I907" s="86">
        <v>906</v>
      </c>
      <c r="J907" s="87">
        <v>1.4376788240203808</v>
      </c>
      <c r="K907" s="87">
        <v>5.524516599326188</v>
      </c>
    </row>
    <row r="908" spans="9:11" x14ac:dyDescent="0.25">
      <c r="I908" s="86">
        <v>907</v>
      </c>
      <c r="J908" s="87">
        <v>3.5075165074465717</v>
      </c>
      <c r="K908" s="87">
        <v>6.9722668855188532</v>
      </c>
    </row>
    <row r="909" spans="9:11" x14ac:dyDescent="0.25">
      <c r="I909" s="86">
        <v>908</v>
      </c>
      <c r="J909" s="87">
        <v>0.31075889066980711</v>
      </c>
      <c r="K909" s="87">
        <v>6.0099244408551984</v>
      </c>
    </row>
    <row r="910" spans="9:11" x14ac:dyDescent="0.25">
      <c r="I910" s="86">
        <v>909</v>
      </c>
      <c r="J910" s="87">
        <v>-0.77677031461448021</v>
      </c>
      <c r="K910" s="87">
        <v>7.167653711189816</v>
      </c>
    </row>
    <row r="911" spans="9:11" x14ac:dyDescent="0.25">
      <c r="I911" s="86">
        <v>910</v>
      </c>
      <c r="J911" s="87">
        <v>2.4780534935142677</v>
      </c>
      <c r="K911" s="87">
        <v>7.2605906010355499</v>
      </c>
    </row>
    <row r="912" spans="9:11" x14ac:dyDescent="0.25">
      <c r="I912" s="86">
        <v>911</v>
      </c>
      <c r="J912" s="87">
        <v>0.90930563787438956</v>
      </c>
      <c r="K912" s="87">
        <v>9.5880637208359474</v>
      </c>
    </row>
    <row r="913" spans="9:11" x14ac:dyDescent="0.25">
      <c r="I913" s="86">
        <v>912</v>
      </c>
      <c r="J913" s="87">
        <v>-1.1310715002324434</v>
      </c>
      <c r="K913" s="87">
        <v>5.033234926955255</v>
      </c>
    </row>
    <row r="914" spans="9:11" x14ac:dyDescent="0.25">
      <c r="I914" s="86">
        <v>913</v>
      </c>
      <c r="J914" s="87">
        <v>2.1981563616921989</v>
      </c>
      <c r="K914" s="87">
        <v>7.5002623914385209</v>
      </c>
    </row>
    <row r="915" spans="9:11" x14ac:dyDescent="0.25">
      <c r="I915" s="86">
        <v>914</v>
      </c>
      <c r="J915" s="87">
        <v>1.8657807687138259</v>
      </c>
      <c r="K915" s="87">
        <v>6.2966274975124046</v>
      </c>
    </row>
    <row r="916" spans="9:11" x14ac:dyDescent="0.25">
      <c r="I916" s="86">
        <v>915</v>
      </c>
      <c r="J916" s="87">
        <v>1.6236969524408051</v>
      </c>
      <c r="K916" s="87">
        <v>6.7992809172689919</v>
      </c>
    </row>
    <row r="917" spans="9:11" x14ac:dyDescent="0.25">
      <c r="I917" s="86">
        <v>916</v>
      </c>
      <c r="J917" s="87">
        <v>2.3187159550440795</v>
      </c>
      <c r="K917" s="87">
        <v>7.3775743244819907</v>
      </c>
    </row>
    <row r="918" spans="9:11" x14ac:dyDescent="0.25">
      <c r="I918" s="86">
        <v>917</v>
      </c>
      <c r="J918" s="87">
        <v>4.3600790750457197</v>
      </c>
      <c r="K918" s="87">
        <v>8.5732500230560138</v>
      </c>
    </row>
    <row r="919" spans="9:11" x14ac:dyDescent="0.25">
      <c r="I919" s="86">
        <v>918</v>
      </c>
      <c r="J919" s="87">
        <v>1.5877367491796974</v>
      </c>
      <c r="K919" s="87">
        <v>7.89858202466118</v>
      </c>
    </row>
    <row r="920" spans="9:11" x14ac:dyDescent="0.25">
      <c r="I920" s="86">
        <v>919</v>
      </c>
      <c r="J920" s="87">
        <v>2.1609406254254564</v>
      </c>
      <c r="K920" s="87">
        <v>7.5804303211045134</v>
      </c>
    </row>
    <row r="921" spans="9:11" x14ac:dyDescent="0.25">
      <c r="I921" s="86">
        <v>920</v>
      </c>
      <c r="J921" s="87">
        <v>1.4588039256988932</v>
      </c>
      <c r="K921" s="87">
        <v>6.2401201687906118</v>
      </c>
    </row>
    <row r="922" spans="9:11" x14ac:dyDescent="0.25">
      <c r="I922" s="86">
        <v>921</v>
      </c>
      <c r="J922" s="87">
        <v>2.188711670287991</v>
      </c>
      <c r="K922" s="87">
        <v>6.8921705265408777</v>
      </c>
    </row>
    <row r="923" spans="9:11" x14ac:dyDescent="0.25">
      <c r="I923" s="86">
        <v>922</v>
      </c>
      <c r="J923" s="87">
        <v>1.5762292479555535</v>
      </c>
      <c r="K923" s="87">
        <v>6.263719465228375</v>
      </c>
    </row>
    <row r="924" spans="9:11" x14ac:dyDescent="0.25">
      <c r="I924" s="86">
        <v>923</v>
      </c>
      <c r="J924" s="87">
        <v>-0.75396135740263492</v>
      </c>
      <c r="K924" s="87">
        <v>5.3218580810537421</v>
      </c>
    </row>
    <row r="925" spans="9:11" x14ac:dyDescent="0.25">
      <c r="I925" s="86">
        <v>924</v>
      </c>
      <c r="J925" s="87">
        <v>1.1413696891345921</v>
      </c>
      <c r="K925" s="87">
        <v>6.8635903641209914</v>
      </c>
    </row>
    <row r="926" spans="9:11" x14ac:dyDescent="0.25">
      <c r="I926" s="86">
        <v>925</v>
      </c>
      <c r="J926" s="87">
        <v>1.9783377054569495</v>
      </c>
      <c r="K926" s="87">
        <v>6.9903577840202376</v>
      </c>
    </row>
    <row r="927" spans="9:11" x14ac:dyDescent="0.25">
      <c r="I927" s="86">
        <v>926</v>
      </c>
      <c r="J927" s="87">
        <v>-7.2032734554519084E-2</v>
      </c>
      <c r="K927" s="87">
        <v>4.2664537438005317</v>
      </c>
    </row>
    <row r="928" spans="9:11" x14ac:dyDescent="0.25">
      <c r="I928" s="86">
        <v>927</v>
      </c>
      <c r="J928" s="87">
        <v>2.082133112612941</v>
      </c>
      <c r="K928" s="87">
        <v>8.6966763455987497</v>
      </c>
    </row>
    <row r="929" spans="9:11" x14ac:dyDescent="0.25">
      <c r="I929" s="86">
        <v>928</v>
      </c>
      <c r="J929" s="87">
        <v>0.64262168196530123</v>
      </c>
      <c r="K929" s="87">
        <v>6.3224768701159757</v>
      </c>
    </row>
    <row r="930" spans="9:11" x14ac:dyDescent="0.25">
      <c r="I930" s="86">
        <v>929</v>
      </c>
      <c r="J930" s="87">
        <v>2.5366742963767681</v>
      </c>
      <c r="K930" s="87">
        <v>7.2661427030600771</v>
      </c>
    </row>
    <row r="931" spans="9:11" x14ac:dyDescent="0.25">
      <c r="I931" s="86">
        <v>930</v>
      </c>
      <c r="J931" s="87">
        <v>-0.63272113694338827</v>
      </c>
      <c r="K931" s="87">
        <v>6.432164059051301</v>
      </c>
    </row>
    <row r="932" spans="9:11" x14ac:dyDescent="0.25">
      <c r="I932" s="86">
        <v>931</v>
      </c>
      <c r="J932" s="87">
        <v>4.9096773184331273</v>
      </c>
      <c r="K932" s="87">
        <v>11.503674837772737</v>
      </c>
    </row>
    <row r="933" spans="9:11" x14ac:dyDescent="0.25">
      <c r="I933" s="86">
        <v>932</v>
      </c>
      <c r="J933" s="87">
        <v>7.9941480650657137</v>
      </c>
      <c r="K933" s="87">
        <v>11.19762317798838</v>
      </c>
    </row>
    <row r="934" spans="9:11" x14ac:dyDescent="0.25">
      <c r="I934" s="86">
        <v>933</v>
      </c>
      <c r="J934" s="87">
        <v>7.2977956321727611</v>
      </c>
      <c r="K934" s="87">
        <v>10.612304690672605</v>
      </c>
    </row>
    <row r="935" spans="9:11" x14ac:dyDescent="0.25">
      <c r="I935" s="86">
        <v>934</v>
      </c>
      <c r="J935" s="87">
        <v>2.2460558884495727</v>
      </c>
      <c r="K935" s="87">
        <v>7.8784813167245442</v>
      </c>
    </row>
    <row r="936" spans="9:11" x14ac:dyDescent="0.25">
      <c r="I936" s="86">
        <v>935</v>
      </c>
      <c r="J936" s="87">
        <v>2.1787358062235738</v>
      </c>
      <c r="K936" s="87">
        <v>5.819702375153863</v>
      </c>
    </row>
    <row r="937" spans="9:11" x14ac:dyDescent="0.25">
      <c r="I937" s="86">
        <v>936</v>
      </c>
      <c r="J937" s="87">
        <v>2.6021517125720361</v>
      </c>
      <c r="K937" s="87">
        <v>7.5023353492207434</v>
      </c>
    </row>
    <row r="938" spans="9:11" x14ac:dyDescent="0.25">
      <c r="I938" s="86">
        <v>937</v>
      </c>
      <c r="J938" s="87">
        <v>-6.8466370979920921E-2</v>
      </c>
      <c r="K938" s="87">
        <v>4.7186716521088226</v>
      </c>
    </row>
    <row r="939" spans="9:11" x14ac:dyDescent="0.25">
      <c r="I939" s="86">
        <v>938</v>
      </c>
      <c r="J939" s="87">
        <v>1.5453051489160652</v>
      </c>
      <c r="K939" s="87">
        <v>6.1900763705698605</v>
      </c>
    </row>
    <row r="940" spans="9:11" x14ac:dyDescent="0.25">
      <c r="I940" s="86">
        <v>939</v>
      </c>
      <c r="J940" s="87">
        <v>1.677307110106069</v>
      </c>
      <c r="K940" s="87">
        <v>6.6569879314960163</v>
      </c>
    </row>
    <row r="941" spans="9:11" x14ac:dyDescent="0.25">
      <c r="I941" s="86">
        <v>940</v>
      </c>
      <c r="J941" s="87">
        <v>2.983408174816379</v>
      </c>
      <c r="K941" s="87">
        <v>7.5081031680134513</v>
      </c>
    </row>
    <row r="942" spans="9:11" x14ac:dyDescent="0.25">
      <c r="I942" s="86">
        <v>941</v>
      </c>
      <c r="J942" s="87">
        <v>-0.74573128458210469</v>
      </c>
      <c r="K942" s="87">
        <v>5.5138093075835721</v>
      </c>
    </row>
    <row r="943" spans="9:11" x14ac:dyDescent="0.25">
      <c r="I943" s="86">
        <v>942</v>
      </c>
      <c r="J943" s="87">
        <v>-0.39876626817284455</v>
      </c>
      <c r="K943" s="87">
        <v>4.7213195692853889</v>
      </c>
    </row>
    <row r="944" spans="9:11" x14ac:dyDescent="0.25">
      <c r="I944" s="86">
        <v>943</v>
      </c>
      <c r="J944" s="87">
        <v>2.1920980300002304</v>
      </c>
      <c r="K944" s="87">
        <v>7.2846760235528798</v>
      </c>
    </row>
    <row r="945" spans="9:11" x14ac:dyDescent="0.25">
      <c r="I945" s="86">
        <v>944</v>
      </c>
      <c r="J945" s="87">
        <v>4.0894487449094576</v>
      </c>
      <c r="K945" s="87">
        <v>6.4409534087572444</v>
      </c>
    </row>
    <row r="946" spans="9:11" x14ac:dyDescent="0.25">
      <c r="I946" s="86">
        <v>945</v>
      </c>
      <c r="J946" s="87">
        <v>0.86013270681038723</v>
      </c>
      <c r="K946" s="87">
        <v>6.707371468227576</v>
      </c>
    </row>
    <row r="947" spans="9:11" x14ac:dyDescent="0.25">
      <c r="I947" s="86">
        <v>946</v>
      </c>
      <c r="J947" s="87">
        <v>-0.19620027095306458</v>
      </c>
      <c r="K947" s="87">
        <v>5.8694435591041314</v>
      </c>
    </row>
    <row r="948" spans="9:11" x14ac:dyDescent="0.25">
      <c r="I948" s="86">
        <v>947</v>
      </c>
      <c r="J948" s="87">
        <v>0.32579412694774312</v>
      </c>
      <c r="K948" s="87">
        <v>4.7843554408132647</v>
      </c>
    </row>
    <row r="949" spans="9:11" x14ac:dyDescent="0.25">
      <c r="I949" s="86">
        <v>948</v>
      </c>
      <c r="J949" s="87">
        <v>0.60092418016229665</v>
      </c>
      <c r="K949" s="87">
        <v>7.1769516439235339</v>
      </c>
    </row>
    <row r="950" spans="9:11" x14ac:dyDescent="0.25">
      <c r="I950" s="86">
        <v>949</v>
      </c>
      <c r="J950" s="87">
        <v>1.1666874902011122</v>
      </c>
      <c r="K950" s="87">
        <v>6.8803453231365461</v>
      </c>
    </row>
    <row r="951" spans="9:11" x14ac:dyDescent="0.25">
      <c r="I951" s="86">
        <v>950</v>
      </c>
      <c r="J951" s="87">
        <v>3.4000077902850379</v>
      </c>
      <c r="K951" s="87">
        <v>6.3024641724061139</v>
      </c>
    </row>
    <row r="952" spans="9:11" x14ac:dyDescent="0.25">
      <c r="I952" s="86">
        <v>951</v>
      </c>
      <c r="J952" s="87">
        <v>2.1588480847366442</v>
      </c>
      <c r="K952" s="87">
        <v>7.9969263996813105</v>
      </c>
    </row>
    <row r="953" spans="9:11" x14ac:dyDescent="0.25">
      <c r="I953" s="86">
        <v>952</v>
      </c>
      <c r="J953" s="87">
        <v>1.7412620223475237</v>
      </c>
      <c r="K953" s="87">
        <v>6.250202982575086</v>
      </c>
    </row>
    <row r="954" spans="9:11" x14ac:dyDescent="0.25">
      <c r="I954" s="86">
        <v>953</v>
      </c>
      <c r="J954" s="87">
        <v>5.9606280040694699</v>
      </c>
      <c r="K954" s="87">
        <v>7.7008053860809911</v>
      </c>
    </row>
    <row r="955" spans="9:11" x14ac:dyDescent="0.25">
      <c r="I955" s="86">
        <v>954</v>
      </c>
      <c r="J955" s="87">
        <v>0.56117914778240419</v>
      </c>
      <c r="K955" s="87">
        <v>6.0359570839986727</v>
      </c>
    </row>
    <row r="956" spans="9:11" x14ac:dyDescent="0.25">
      <c r="I956" s="86">
        <v>955</v>
      </c>
      <c r="J956" s="87">
        <v>1.1178446798412685</v>
      </c>
      <c r="K956" s="87">
        <v>4.0363280365590413</v>
      </c>
    </row>
    <row r="957" spans="9:11" x14ac:dyDescent="0.25">
      <c r="I957" s="86">
        <v>956</v>
      </c>
      <c r="J957" s="87">
        <v>1.1298784622874432</v>
      </c>
      <c r="K957" s="87">
        <v>4.6450371466984999</v>
      </c>
    </row>
    <row r="958" spans="9:11" x14ac:dyDescent="0.25">
      <c r="I958" s="86">
        <v>957</v>
      </c>
      <c r="J958" s="87">
        <v>0.62875223031858862</v>
      </c>
      <c r="K958" s="87">
        <v>7.8600888021265343</v>
      </c>
    </row>
    <row r="959" spans="9:11" x14ac:dyDescent="0.25">
      <c r="I959" s="86">
        <v>958</v>
      </c>
      <c r="J959" s="87">
        <v>5.7574683961817019</v>
      </c>
      <c r="K959" s="87">
        <v>11.464616412918289</v>
      </c>
    </row>
    <row r="960" spans="9:11" x14ac:dyDescent="0.25">
      <c r="I960" s="86">
        <v>959</v>
      </c>
      <c r="J960" s="87">
        <v>1.4439242189589017</v>
      </c>
      <c r="K960" s="87">
        <v>4.8140506620332584</v>
      </c>
    </row>
    <row r="961" spans="9:11" x14ac:dyDescent="0.25">
      <c r="I961" s="86">
        <v>960</v>
      </c>
      <c r="J961" s="87">
        <v>6.3527653953612262</v>
      </c>
      <c r="K961" s="87">
        <v>11.146565313293681</v>
      </c>
    </row>
    <row r="962" spans="9:11" x14ac:dyDescent="0.25">
      <c r="I962" s="86">
        <v>961</v>
      </c>
      <c r="J962" s="87">
        <v>4.6691104862691466</v>
      </c>
      <c r="K962" s="87">
        <v>6.9917287061897504</v>
      </c>
    </row>
    <row r="963" spans="9:11" x14ac:dyDescent="0.25">
      <c r="I963" s="86">
        <v>962</v>
      </c>
      <c r="J963" s="87">
        <v>-0.31221296647683738</v>
      </c>
      <c r="K963" s="87">
        <v>4.6502082628177668</v>
      </c>
    </row>
    <row r="964" spans="9:11" x14ac:dyDescent="0.25">
      <c r="I964" s="86">
        <v>963</v>
      </c>
      <c r="J964" s="87">
        <v>2.5514611743038236</v>
      </c>
      <c r="K964" s="87">
        <v>6.5360676095628136</v>
      </c>
    </row>
    <row r="965" spans="9:11" x14ac:dyDescent="0.25">
      <c r="I965" s="86">
        <v>964</v>
      </c>
      <c r="J965" s="87">
        <v>1.8995729530356842</v>
      </c>
      <c r="K965" s="87">
        <v>6.5754908915892196</v>
      </c>
    </row>
    <row r="966" spans="9:11" x14ac:dyDescent="0.25">
      <c r="I966" s="86">
        <v>965</v>
      </c>
      <c r="J966" s="87">
        <v>2.7829004160585393</v>
      </c>
      <c r="K966" s="87">
        <v>10.043551716289308</v>
      </c>
    </row>
    <row r="967" spans="9:11" x14ac:dyDescent="0.25">
      <c r="I967" s="86">
        <v>966</v>
      </c>
      <c r="J967" s="87">
        <v>2.2426613048360728</v>
      </c>
      <c r="K967" s="87">
        <v>7.0214378423744144</v>
      </c>
    </row>
    <row r="968" spans="9:11" x14ac:dyDescent="0.25">
      <c r="I968" s="86">
        <v>967</v>
      </c>
      <c r="J968" s="87">
        <v>6.2492987401647877</v>
      </c>
      <c r="K968" s="87">
        <v>10.891223150041828</v>
      </c>
    </row>
    <row r="969" spans="9:11" x14ac:dyDescent="0.25">
      <c r="I969" s="86">
        <v>968</v>
      </c>
      <c r="J969" s="87">
        <v>1.3438759471532236</v>
      </c>
      <c r="K969" s="87">
        <v>6.2348925137564599</v>
      </c>
    </row>
    <row r="970" spans="9:11" x14ac:dyDescent="0.25">
      <c r="I970" s="86">
        <v>969</v>
      </c>
      <c r="J970" s="87">
        <v>1.7642786469562166</v>
      </c>
      <c r="K970" s="87">
        <v>6.5319879489177728</v>
      </c>
    </row>
    <row r="971" spans="9:11" x14ac:dyDescent="0.25">
      <c r="I971" s="86">
        <v>970</v>
      </c>
      <c r="J971" s="87">
        <v>1.3772488517312902</v>
      </c>
      <c r="K971" s="87">
        <v>5.9436879980955393</v>
      </c>
    </row>
    <row r="972" spans="9:11" x14ac:dyDescent="0.25">
      <c r="I972" s="86">
        <v>971</v>
      </c>
      <c r="J972" s="87">
        <v>3.7920973513990033</v>
      </c>
      <c r="K972" s="87">
        <v>7.239911657675874</v>
      </c>
    </row>
    <row r="973" spans="9:11" x14ac:dyDescent="0.25">
      <c r="I973" s="86">
        <v>972</v>
      </c>
      <c r="J973" s="87">
        <v>0.5442075477699162</v>
      </c>
      <c r="K973" s="87">
        <v>4.7994215640087559</v>
      </c>
    </row>
    <row r="974" spans="9:11" x14ac:dyDescent="0.25">
      <c r="I974" s="86">
        <v>973</v>
      </c>
      <c r="J974" s="87">
        <v>1.2706820746012504</v>
      </c>
      <c r="K974" s="87">
        <v>7.1531926562230144</v>
      </c>
    </row>
    <row r="975" spans="9:11" x14ac:dyDescent="0.25">
      <c r="I975" s="86">
        <v>974</v>
      </c>
      <c r="J975" s="87">
        <v>-0.45150737353172943</v>
      </c>
      <c r="K975" s="87">
        <v>6.8900173969661465</v>
      </c>
    </row>
    <row r="976" spans="9:11" x14ac:dyDescent="0.25">
      <c r="I976" s="86">
        <v>975</v>
      </c>
      <c r="J976" s="87">
        <v>12.635176076211103</v>
      </c>
      <c r="K976" s="87">
        <v>14.201222445459221</v>
      </c>
    </row>
    <row r="977" spans="9:11" x14ac:dyDescent="0.25">
      <c r="I977" s="86">
        <v>976</v>
      </c>
      <c r="J977" s="87">
        <v>-1.0559774905540706</v>
      </c>
      <c r="K977" s="87">
        <v>6.6151001435124961</v>
      </c>
    </row>
    <row r="978" spans="9:11" x14ac:dyDescent="0.25">
      <c r="I978" s="86">
        <v>977</v>
      </c>
      <c r="J978" s="87">
        <v>2.5687636394579112</v>
      </c>
      <c r="K978" s="87">
        <v>8.6417548629033138</v>
      </c>
    </row>
    <row r="979" spans="9:11" x14ac:dyDescent="0.25">
      <c r="I979" s="86">
        <v>978</v>
      </c>
      <c r="J979" s="87">
        <v>-0.48586623255716699</v>
      </c>
      <c r="K979" s="87">
        <v>7.3513482422521772</v>
      </c>
    </row>
    <row r="980" spans="9:11" x14ac:dyDescent="0.25">
      <c r="I980" s="86">
        <v>979</v>
      </c>
      <c r="J980" s="87">
        <v>3.0501167528597408</v>
      </c>
      <c r="K980" s="87">
        <v>9.9018815111435909</v>
      </c>
    </row>
    <row r="981" spans="9:11" x14ac:dyDescent="0.25">
      <c r="I981" s="86">
        <v>980</v>
      </c>
      <c r="J981" s="87">
        <v>2.7309437572880517</v>
      </c>
      <c r="K981" s="87">
        <v>6.9426017491214598</v>
      </c>
    </row>
    <row r="982" spans="9:11" x14ac:dyDescent="0.25">
      <c r="I982" s="86">
        <v>981</v>
      </c>
      <c r="J982" s="87">
        <v>-0.20359668939968056</v>
      </c>
      <c r="K982" s="87">
        <v>5.7150658523009916</v>
      </c>
    </row>
    <row r="983" spans="9:11" x14ac:dyDescent="0.25">
      <c r="I983" s="86">
        <v>982</v>
      </c>
      <c r="J983" s="87">
        <v>2.7858797988671746E-2</v>
      </c>
      <c r="K983" s="87">
        <v>5.0610936829521833</v>
      </c>
    </row>
    <row r="984" spans="9:11" x14ac:dyDescent="0.25">
      <c r="I984" s="86">
        <v>983</v>
      </c>
      <c r="J984" s="87">
        <v>1.1205535014626533</v>
      </c>
      <c r="K984" s="87">
        <v>4.7232767031117087</v>
      </c>
    </row>
    <row r="985" spans="9:11" x14ac:dyDescent="0.25">
      <c r="I985" s="86">
        <v>984</v>
      </c>
      <c r="J985" s="87">
        <v>2.0287880936020262</v>
      </c>
      <c r="K985" s="87">
        <v>6.4151602797884504</v>
      </c>
    </row>
    <row r="986" spans="9:11" x14ac:dyDescent="0.25">
      <c r="I986" s="86">
        <v>985</v>
      </c>
      <c r="J986" s="87">
        <v>2.1877379151714349</v>
      </c>
      <c r="K986" s="87">
        <v>8.3205054737994182</v>
      </c>
    </row>
    <row r="987" spans="9:11" x14ac:dyDescent="0.25">
      <c r="I987" s="86">
        <v>986</v>
      </c>
      <c r="J987" s="87">
        <v>1.6122585312293172</v>
      </c>
      <c r="K987" s="87">
        <v>8.2760630625606346</v>
      </c>
    </row>
    <row r="988" spans="9:11" x14ac:dyDescent="0.25">
      <c r="I988" s="86">
        <v>987</v>
      </c>
      <c r="J988" s="87">
        <v>2.3696302063681864</v>
      </c>
      <c r="K988" s="87">
        <v>6.3873696141571088</v>
      </c>
    </row>
    <row r="989" spans="9:11" x14ac:dyDescent="0.25">
      <c r="I989" s="86">
        <v>988</v>
      </c>
      <c r="J989" s="87">
        <v>2.5069157007921108</v>
      </c>
      <c r="K989" s="87">
        <v>6.4421827927349602</v>
      </c>
    </row>
    <row r="990" spans="9:11" x14ac:dyDescent="0.25">
      <c r="I990" s="86">
        <v>989</v>
      </c>
      <c r="J990" s="87">
        <v>1.9089513510242773</v>
      </c>
      <c r="K990" s="87">
        <v>7.0214784630806308</v>
      </c>
    </row>
    <row r="991" spans="9:11" x14ac:dyDescent="0.25">
      <c r="I991" s="86">
        <v>990</v>
      </c>
      <c r="J991" s="87">
        <v>1.3689654986900566</v>
      </c>
      <c r="K991" s="87">
        <v>6.890220832705368</v>
      </c>
    </row>
    <row r="992" spans="9:11" x14ac:dyDescent="0.25">
      <c r="I992" s="86">
        <v>991</v>
      </c>
      <c r="J992" s="87">
        <v>2.4487820320887721</v>
      </c>
      <c r="K992" s="87">
        <v>7.8525433879027116</v>
      </c>
    </row>
    <row r="993" spans="9:11" x14ac:dyDescent="0.25">
      <c r="I993" s="86">
        <v>992</v>
      </c>
      <c r="J993" s="87">
        <v>6.8167994413447595</v>
      </c>
      <c r="K993" s="87">
        <v>10.278468617162218</v>
      </c>
    </row>
    <row r="994" spans="9:11" x14ac:dyDescent="0.25">
      <c r="I994" s="86">
        <v>993</v>
      </c>
      <c r="J994" s="87">
        <v>2.6687253469114793</v>
      </c>
      <c r="K994" s="87">
        <v>7.9450822590608743</v>
      </c>
    </row>
    <row r="995" spans="9:11" x14ac:dyDescent="0.25">
      <c r="I995" s="86">
        <v>994</v>
      </c>
      <c r="J995" s="87">
        <v>2.451360721777279</v>
      </c>
      <c r="K995" s="87">
        <v>7.2567702440890898</v>
      </c>
    </row>
    <row r="996" spans="9:11" x14ac:dyDescent="0.25">
      <c r="I996" s="86">
        <v>995</v>
      </c>
      <c r="J996" s="87">
        <v>2.0194135482994682</v>
      </c>
      <c r="K996" s="87">
        <v>6.7729873495441355</v>
      </c>
    </row>
    <row r="997" spans="9:11" x14ac:dyDescent="0.25">
      <c r="I997" s="86">
        <v>996</v>
      </c>
      <c r="J997" s="87">
        <v>1.3145471472113792</v>
      </c>
      <c r="K997" s="87">
        <v>6.8129157376951586</v>
      </c>
    </row>
    <row r="998" spans="9:11" x14ac:dyDescent="0.25">
      <c r="I998" s="86">
        <v>997</v>
      </c>
      <c r="J998" s="87">
        <v>0.55949175617219105</v>
      </c>
      <c r="K998" s="87">
        <v>6.4537768415947028</v>
      </c>
    </row>
    <row r="999" spans="9:11" x14ac:dyDescent="0.25">
      <c r="I999" s="86">
        <v>998</v>
      </c>
      <c r="J999" s="87">
        <v>-2.4044045238948009</v>
      </c>
      <c r="K999" s="87">
        <v>5.5581073300099009</v>
      </c>
    </row>
    <row r="1000" spans="9:11" x14ac:dyDescent="0.25">
      <c r="I1000" s="86">
        <v>999</v>
      </c>
      <c r="J1000" s="87">
        <v>6.4042465379132221</v>
      </c>
      <c r="K1000" s="87">
        <v>6.8258113341560138</v>
      </c>
    </row>
    <row r="1001" spans="9:11" x14ac:dyDescent="0.25">
      <c r="I1001" s="86">
        <v>1000</v>
      </c>
      <c r="J1001" s="87">
        <v>2.5875857903325352</v>
      </c>
      <c r="K1001" s="87">
        <v>7.2883230227895819</v>
      </c>
    </row>
    <row r="1002" spans="9:11" x14ac:dyDescent="0.25">
      <c r="I1002" s="86">
        <v>1001</v>
      </c>
      <c r="J1002" s="87">
        <v>3.0015958518375898</v>
      </c>
      <c r="K1002" s="87">
        <v>8.0970336955081024</v>
      </c>
    </row>
    <row r="1003" spans="9:11" x14ac:dyDescent="0.25">
      <c r="I1003" s="86">
        <v>1002</v>
      </c>
      <c r="J1003" s="87">
        <v>-0.5911872364687083</v>
      </c>
      <c r="K1003" s="87">
        <v>4.7173156887867007</v>
      </c>
    </row>
    <row r="1004" spans="9:11" x14ac:dyDescent="0.25">
      <c r="I1004" s="86">
        <v>1003</v>
      </c>
      <c r="J1004" s="87">
        <v>-0.1385270903459439</v>
      </c>
      <c r="K1004" s="87">
        <v>5.2371205283480231</v>
      </c>
    </row>
    <row r="1005" spans="9:11" x14ac:dyDescent="0.25">
      <c r="I1005" s="86">
        <v>1004</v>
      </c>
      <c r="J1005" s="87">
        <v>2.594324213677476</v>
      </c>
      <c r="K1005" s="87">
        <v>9.5196647681959732</v>
      </c>
    </row>
    <row r="1006" spans="9:11" x14ac:dyDescent="0.25">
      <c r="I1006" s="86">
        <v>1005</v>
      </c>
      <c r="J1006" s="87">
        <v>0.70892396452050299</v>
      </c>
      <c r="K1006" s="87">
        <v>7.3183465538239609</v>
      </c>
    </row>
    <row r="1007" spans="9:11" x14ac:dyDescent="0.25">
      <c r="I1007" s="86">
        <v>1006</v>
      </c>
      <c r="J1007" s="87">
        <v>-0.43392235898971254</v>
      </c>
      <c r="K1007" s="87">
        <v>7.2632066760020999</v>
      </c>
    </row>
    <row r="1008" spans="9:11" x14ac:dyDescent="0.25">
      <c r="I1008" s="86">
        <v>1007</v>
      </c>
      <c r="J1008" s="87">
        <v>9.9824182485546906</v>
      </c>
      <c r="K1008" s="87">
        <v>13.345052940926131</v>
      </c>
    </row>
    <row r="1009" spans="9:11" x14ac:dyDescent="0.25">
      <c r="I1009" s="86">
        <v>1008</v>
      </c>
      <c r="J1009" s="87">
        <v>2.6332850967192449</v>
      </c>
      <c r="K1009" s="87">
        <v>10.517577540308569</v>
      </c>
    </row>
    <row r="1010" spans="9:11" x14ac:dyDescent="0.25">
      <c r="I1010" s="86">
        <v>1009</v>
      </c>
      <c r="J1010" s="87">
        <v>2.4058456878174823</v>
      </c>
      <c r="K1010" s="87">
        <v>7.874170930406529</v>
      </c>
    </row>
    <row r="1011" spans="9:11" x14ac:dyDescent="0.25">
      <c r="I1011" s="86">
        <v>1010</v>
      </c>
      <c r="J1011" s="87">
        <v>1.8612017621248285</v>
      </c>
      <c r="K1011" s="87">
        <v>8.0557784565351991</v>
      </c>
    </row>
    <row r="1012" spans="9:11" x14ac:dyDescent="0.25">
      <c r="I1012" s="86">
        <v>1011</v>
      </c>
      <c r="J1012" s="87">
        <v>2.6890856885894303</v>
      </c>
      <c r="K1012" s="87">
        <v>6.4226743088181726</v>
      </c>
    </row>
    <row r="1013" spans="9:11" x14ac:dyDescent="0.25">
      <c r="I1013" s="86">
        <v>1012</v>
      </c>
      <c r="J1013" s="87">
        <v>6.102506938397017</v>
      </c>
      <c r="K1013" s="87">
        <v>10.975925745110215</v>
      </c>
    </row>
    <row r="1014" spans="9:11" x14ac:dyDescent="0.25">
      <c r="I1014" s="86">
        <v>1013</v>
      </c>
      <c r="J1014" s="87">
        <v>1.1785616213054673</v>
      </c>
      <c r="K1014" s="87">
        <v>5.2780200143134968</v>
      </c>
    </row>
    <row r="1015" spans="9:11" x14ac:dyDescent="0.25">
      <c r="I1015" s="86">
        <v>1014</v>
      </c>
      <c r="J1015" s="87">
        <v>6.4292832834402169</v>
      </c>
      <c r="K1015" s="87">
        <v>9.4770020884037525</v>
      </c>
    </row>
    <row r="1016" spans="9:11" x14ac:dyDescent="0.25">
      <c r="I1016" s="86">
        <v>1015</v>
      </c>
      <c r="J1016" s="87">
        <v>1.9401072689564494</v>
      </c>
      <c r="K1016" s="87">
        <v>8.0098523571608915</v>
      </c>
    </row>
    <row r="1017" spans="9:11" x14ac:dyDescent="0.25">
      <c r="I1017" s="86">
        <v>1016</v>
      </c>
      <c r="J1017" s="87">
        <v>-1.734058357261171</v>
      </c>
      <c r="K1017" s="87">
        <v>4.0445964089260871</v>
      </c>
    </row>
    <row r="1018" spans="9:11" x14ac:dyDescent="0.25">
      <c r="I1018" s="86">
        <v>1017</v>
      </c>
      <c r="J1018" s="87">
        <v>2.2924558031783198</v>
      </c>
      <c r="K1018" s="87">
        <v>7.9769129062934665</v>
      </c>
    </row>
    <row r="1019" spans="9:11" x14ac:dyDescent="0.25">
      <c r="I1019" s="86">
        <v>1018</v>
      </c>
      <c r="J1019" s="87">
        <v>1.2500604596695646</v>
      </c>
      <c r="K1019" s="87">
        <v>5.2937496350026843</v>
      </c>
    </row>
    <row r="1020" spans="9:11" x14ac:dyDescent="0.25">
      <c r="I1020" s="86">
        <v>1019</v>
      </c>
      <c r="J1020" s="87">
        <v>2.2378191157352738</v>
      </c>
      <c r="K1020" s="87">
        <v>9.3758633596009489</v>
      </c>
    </row>
    <row r="1021" spans="9:11" x14ac:dyDescent="0.25">
      <c r="I1021" s="86">
        <v>1020</v>
      </c>
      <c r="J1021" s="87">
        <v>4.3106436426403159</v>
      </c>
      <c r="K1021" s="87">
        <v>8.8842768905375831</v>
      </c>
    </row>
    <row r="1022" spans="9:11" x14ac:dyDescent="0.25">
      <c r="I1022" s="86">
        <v>1021</v>
      </c>
      <c r="J1022" s="87">
        <v>0.17235246824988737</v>
      </c>
      <c r="K1022" s="87">
        <v>4.3109222317242777</v>
      </c>
    </row>
    <row r="1023" spans="9:11" x14ac:dyDescent="0.25">
      <c r="I1023" s="86">
        <v>1022</v>
      </c>
      <c r="J1023" s="87">
        <v>-0.55957210538014834</v>
      </c>
      <c r="K1023" s="87">
        <v>4.3932226728020733</v>
      </c>
    </row>
    <row r="1024" spans="9:11" x14ac:dyDescent="0.25">
      <c r="I1024" s="86">
        <v>1023</v>
      </c>
      <c r="J1024" s="87">
        <v>1.7304999345256045</v>
      </c>
      <c r="K1024" s="87">
        <v>6.9712394932009252</v>
      </c>
    </row>
    <row r="1025" spans="9:11" x14ac:dyDescent="0.25">
      <c r="I1025" s="86">
        <v>1024</v>
      </c>
      <c r="J1025" s="87">
        <v>1.0837576026790297</v>
      </c>
      <c r="K1025" s="87">
        <v>8.4415618378680861</v>
      </c>
    </row>
    <row r="1026" spans="9:11" x14ac:dyDescent="0.25">
      <c r="I1026" s="86">
        <v>1025</v>
      </c>
      <c r="J1026" s="87">
        <v>1.3043514623454779</v>
      </c>
      <c r="K1026" s="87">
        <v>6.2711840331666009</v>
      </c>
    </row>
    <row r="1027" spans="9:11" x14ac:dyDescent="0.25">
      <c r="I1027" s="86">
        <v>1026</v>
      </c>
      <c r="J1027" s="87">
        <v>1.5817695910782001</v>
      </c>
      <c r="K1027" s="87">
        <v>6.8235045228861111</v>
      </c>
    </row>
    <row r="1028" spans="9:11" x14ac:dyDescent="0.25">
      <c r="I1028" s="86">
        <v>1027</v>
      </c>
      <c r="J1028" s="87">
        <v>0.28131651880401431</v>
      </c>
      <c r="K1028" s="87">
        <v>5.1956491392984532</v>
      </c>
    </row>
    <row r="1029" spans="9:11" x14ac:dyDescent="0.25">
      <c r="I1029" s="86">
        <v>1028</v>
      </c>
      <c r="J1029" s="87">
        <v>2.2274767173657866</v>
      </c>
      <c r="K1029" s="87">
        <v>11.092666594081109</v>
      </c>
    </row>
    <row r="1030" spans="9:11" x14ac:dyDescent="0.25">
      <c r="I1030" s="86">
        <v>1029</v>
      </c>
      <c r="J1030" s="87">
        <v>0.15652987903945803</v>
      </c>
      <c r="K1030" s="87">
        <v>5.4338022967807227</v>
      </c>
    </row>
    <row r="1031" spans="9:11" x14ac:dyDescent="0.25">
      <c r="I1031" s="86">
        <v>1030</v>
      </c>
      <c r="J1031" s="87">
        <v>0.27670355535568092</v>
      </c>
      <c r="K1031" s="87">
        <v>6.2561263256657629</v>
      </c>
    </row>
    <row r="1032" spans="9:11" x14ac:dyDescent="0.25">
      <c r="I1032" s="86">
        <v>1031</v>
      </c>
      <c r="J1032" s="87">
        <v>0.59698291475739396</v>
      </c>
      <c r="K1032" s="87">
        <v>6.050882650208175</v>
      </c>
    </row>
    <row r="1033" spans="9:11" x14ac:dyDescent="0.25">
      <c r="I1033" s="86">
        <v>1032</v>
      </c>
      <c r="J1033" s="87">
        <v>2.8527055888592692</v>
      </c>
      <c r="K1033" s="87">
        <v>6.5039530641453531</v>
      </c>
    </row>
    <row r="1034" spans="9:11" x14ac:dyDescent="0.25">
      <c r="I1034" s="86">
        <v>1033</v>
      </c>
      <c r="J1034" s="87">
        <v>8.2034612484311431E-2</v>
      </c>
      <c r="K1034" s="87">
        <v>6.239226202393513</v>
      </c>
    </row>
    <row r="1035" spans="9:11" x14ac:dyDescent="0.25">
      <c r="I1035" s="86">
        <v>1034</v>
      </c>
      <c r="J1035" s="87">
        <v>1.4518262566585687</v>
      </c>
      <c r="K1035" s="87">
        <v>7.4525436463749122</v>
      </c>
    </row>
    <row r="1036" spans="9:11" x14ac:dyDescent="0.25">
      <c r="I1036" s="86">
        <v>1035</v>
      </c>
      <c r="J1036" s="87">
        <v>9.7008036210519677E-2</v>
      </c>
      <c r="K1036" s="87">
        <v>6.2138873050944223</v>
      </c>
    </row>
    <row r="1037" spans="9:11" x14ac:dyDescent="0.25">
      <c r="I1037" s="86">
        <v>1036</v>
      </c>
      <c r="J1037" s="87">
        <v>0.92478458090720261</v>
      </c>
      <c r="K1037" s="87">
        <v>5.2352858328934291</v>
      </c>
    </row>
    <row r="1038" spans="9:11" x14ac:dyDescent="0.25">
      <c r="I1038" s="86">
        <v>1037</v>
      </c>
      <c r="J1038" s="87">
        <v>3.4633428087964431</v>
      </c>
      <c r="K1038" s="87">
        <v>7.0284644057860817</v>
      </c>
    </row>
    <row r="1039" spans="9:11" x14ac:dyDescent="0.25">
      <c r="I1039" s="86">
        <v>1038</v>
      </c>
      <c r="J1039" s="87">
        <v>0.16215603141219859</v>
      </c>
      <c r="K1039" s="87">
        <v>6.00371529158787</v>
      </c>
    </row>
    <row r="1040" spans="9:11" x14ac:dyDescent="0.25">
      <c r="I1040" s="86">
        <v>1039</v>
      </c>
      <c r="J1040" s="87">
        <v>2.3794038678093745</v>
      </c>
      <c r="K1040" s="87">
        <v>7.2822013998937329</v>
      </c>
    </row>
    <row r="1041" spans="9:11" x14ac:dyDescent="0.25">
      <c r="I1041" s="86">
        <v>1040</v>
      </c>
      <c r="J1041" s="87">
        <v>0.85245684251041531</v>
      </c>
      <c r="K1041" s="87">
        <v>7.0738767290123246</v>
      </c>
    </row>
    <row r="1042" spans="9:11" x14ac:dyDescent="0.25">
      <c r="I1042" s="86">
        <v>1041</v>
      </c>
      <c r="J1042" s="87">
        <v>1.4127913316926355</v>
      </c>
      <c r="K1042" s="87">
        <v>7.7596741329579313</v>
      </c>
    </row>
    <row r="1043" spans="9:11" x14ac:dyDescent="0.25">
      <c r="I1043" s="86">
        <v>1042</v>
      </c>
      <c r="J1043" s="87">
        <v>0.95496820788643344</v>
      </c>
      <c r="K1043" s="87">
        <v>8.21657095294856</v>
      </c>
    </row>
    <row r="1044" spans="9:11" x14ac:dyDescent="0.25">
      <c r="I1044" s="86">
        <v>1043</v>
      </c>
      <c r="J1044" s="87">
        <v>2.0212595930367829</v>
      </c>
      <c r="K1044" s="87">
        <v>5.4428591735261227</v>
      </c>
    </row>
    <row r="1045" spans="9:11" x14ac:dyDescent="0.25">
      <c r="I1045" s="86">
        <v>1044</v>
      </c>
      <c r="J1045" s="87">
        <v>1.605668941645602</v>
      </c>
      <c r="K1045" s="87">
        <v>6.0968014184086954</v>
      </c>
    </row>
    <row r="1046" spans="9:11" x14ac:dyDescent="0.25">
      <c r="I1046" s="86">
        <v>1045</v>
      </c>
      <c r="J1046" s="87">
        <v>-0.42413450067048863</v>
      </c>
      <c r="K1046" s="87">
        <v>6.764806625972259</v>
      </c>
    </row>
    <row r="1047" spans="9:11" x14ac:dyDescent="0.25">
      <c r="I1047" s="86">
        <v>1046</v>
      </c>
      <c r="J1047" s="87">
        <v>0.49512216991649538</v>
      </c>
      <c r="K1047" s="87">
        <v>5.8436429761824797</v>
      </c>
    </row>
    <row r="1048" spans="9:11" x14ac:dyDescent="0.25">
      <c r="I1048" s="86">
        <v>1047</v>
      </c>
      <c r="J1048" s="87">
        <v>-0.10623186964453968</v>
      </c>
      <c r="K1048" s="87">
        <v>4.6154200490369206</v>
      </c>
    </row>
    <row r="1049" spans="9:11" x14ac:dyDescent="0.25">
      <c r="I1049" s="86">
        <v>1048</v>
      </c>
      <c r="J1049" s="87">
        <v>1.6361532691452112</v>
      </c>
      <c r="K1049" s="87">
        <v>7.0717313861145543</v>
      </c>
    </row>
    <row r="1050" spans="9:11" x14ac:dyDescent="0.25">
      <c r="I1050" s="86">
        <v>1049</v>
      </c>
      <c r="J1050" s="87">
        <v>-1.7932330348116636</v>
      </c>
      <c r="K1050" s="87">
        <v>5.6035285349645187</v>
      </c>
    </row>
    <row r="1051" spans="9:11" x14ac:dyDescent="0.25">
      <c r="I1051" s="86">
        <v>1050</v>
      </c>
      <c r="J1051" s="87">
        <v>2.2889488230864465</v>
      </c>
      <c r="K1051" s="87">
        <v>6.6757187392408923</v>
      </c>
    </row>
    <row r="1052" spans="9:11" x14ac:dyDescent="0.25">
      <c r="I1052" s="86">
        <v>1051</v>
      </c>
      <c r="J1052" s="87">
        <v>1.4347077342881187</v>
      </c>
      <c r="K1052" s="87">
        <v>6.2740447064945339</v>
      </c>
    </row>
    <row r="1053" spans="9:11" x14ac:dyDescent="0.25">
      <c r="I1053" s="86">
        <v>1052</v>
      </c>
      <c r="J1053" s="87">
        <v>0.52611078957738133</v>
      </c>
      <c r="K1053" s="87">
        <v>5.6829532972600347</v>
      </c>
    </row>
    <row r="1054" spans="9:11" x14ac:dyDescent="0.25">
      <c r="I1054" s="86">
        <v>1053</v>
      </c>
      <c r="J1054" s="87">
        <v>1.0437947253905691</v>
      </c>
      <c r="K1054" s="87">
        <v>6.009645523879577</v>
      </c>
    </row>
    <row r="1055" spans="9:11" x14ac:dyDescent="0.25">
      <c r="I1055" s="86">
        <v>1054</v>
      </c>
      <c r="J1055" s="87">
        <v>-5.4993632291801653E-2</v>
      </c>
      <c r="K1055" s="87">
        <v>5.8775301914846159</v>
      </c>
    </row>
    <row r="1056" spans="9:11" x14ac:dyDescent="0.25">
      <c r="I1056" s="86">
        <v>1055</v>
      </c>
      <c r="J1056" s="87">
        <v>0.35140300165690608</v>
      </c>
      <c r="K1056" s="87">
        <v>6.1449170342386603</v>
      </c>
    </row>
    <row r="1057" spans="9:11" x14ac:dyDescent="0.25">
      <c r="I1057" s="86">
        <v>1056</v>
      </c>
      <c r="J1057" s="87">
        <v>1.7430793965732603</v>
      </c>
      <c r="K1057" s="87">
        <v>6.0009365095506109</v>
      </c>
    </row>
    <row r="1058" spans="9:11" x14ac:dyDescent="0.25">
      <c r="I1058" s="86">
        <v>1057</v>
      </c>
      <c r="J1058" s="87">
        <v>1.0837480899025707</v>
      </c>
      <c r="K1058" s="87">
        <v>6.9843901629916889</v>
      </c>
    </row>
    <row r="1059" spans="9:11" x14ac:dyDescent="0.25">
      <c r="I1059" s="86">
        <v>1058</v>
      </c>
      <c r="J1059" s="87">
        <v>3.5689098870246827</v>
      </c>
      <c r="K1059" s="87">
        <v>7.1704130479442547</v>
      </c>
    </row>
    <row r="1060" spans="9:11" x14ac:dyDescent="0.25">
      <c r="I1060" s="86">
        <v>1059</v>
      </c>
      <c r="J1060" s="87">
        <v>4.7723588776716817</v>
      </c>
      <c r="K1060" s="87">
        <v>9.1472523300508293</v>
      </c>
    </row>
    <row r="1061" spans="9:11" x14ac:dyDescent="0.25">
      <c r="I1061" s="86">
        <v>1060</v>
      </c>
      <c r="J1061" s="87">
        <v>1.7451653772847218</v>
      </c>
      <c r="K1061" s="87">
        <v>8.3146363187443786</v>
      </c>
    </row>
    <row r="1062" spans="9:11" x14ac:dyDescent="0.25">
      <c r="I1062" s="86">
        <v>1061</v>
      </c>
      <c r="J1062" s="87">
        <v>1.3490048582908098</v>
      </c>
      <c r="K1062" s="87">
        <v>6.4081640344679975</v>
      </c>
    </row>
    <row r="1063" spans="9:11" x14ac:dyDescent="0.25">
      <c r="I1063" s="86">
        <v>1062</v>
      </c>
      <c r="J1063" s="87">
        <v>0.77159767943205892</v>
      </c>
      <c r="K1063" s="87">
        <v>6.1332813351655435</v>
      </c>
    </row>
    <row r="1064" spans="9:11" x14ac:dyDescent="0.25">
      <c r="I1064" s="86">
        <v>1063</v>
      </c>
      <c r="J1064" s="87">
        <v>3.9764569539462746</v>
      </c>
      <c r="K1064" s="87">
        <v>9.7657819314041152</v>
      </c>
    </row>
    <row r="1065" spans="9:11" x14ac:dyDescent="0.25">
      <c r="I1065" s="86">
        <v>1064</v>
      </c>
      <c r="J1065" s="87">
        <v>3.2421850208923937</v>
      </c>
      <c r="K1065" s="87">
        <v>7.3492829047312327</v>
      </c>
    </row>
    <row r="1066" spans="9:11" x14ac:dyDescent="0.25">
      <c r="I1066" s="86">
        <v>1065</v>
      </c>
      <c r="J1066" s="87">
        <v>0.93112965032384576</v>
      </c>
      <c r="K1066" s="87">
        <v>6.1656352846633586</v>
      </c>
    </row>
    <row r="1067" spans="9:11" x14ac:dyDescent="0.25">
      <c r="I1067" s="86">
        <v>1066</v>
      </c>
      <c r="J1067" s="87">
        <v>4.1964444359526887</v>
      </c>
      <c r="K1067" s="87">
        <v>10.688306081437425</v>
      </c>
    </row>
    <row r="1068" spans="9:11" x14ac:dyDescent="0.25">
      <c r="I1068" s="86">
        <v>1067</v>
      </c>
      <c r="J1068" s="87">
        <v>-0.47570578452718593</v>
      </c>
      <c r="K1068" s="87">
        <v>6.7935875322167512</v>
      </c>
    </row>
    <row r="1069" spans="9:11" x14ac:dyDescent="0.25">
      <c r="I1069" s="86">
        <v>1068</v>
      </c>
      <c r="J1069" s="87">
        <v>3.6299944505359356</v>
      </c>
      <c r="K1069" s="87">
        <v>8.3788211157343593</v>
      </c>
    </row>
    <row r="1070" spans="9:11" x14ac:dyDescent="0.25">
      <c r="I1070" s="86">
        <v>1069</v>
      </c>
      <c r="J1070" s="87">
        <v>5.2916773106410258</v>
      </c>
      <c r="K1070" s="87">
        <v>8.9410726295166185</v>
      </c>
    </row>
    <row r="1071" spans="9:11" x14ac:dyDescent="0.25">
      <c r="I1071" s="86">
        <v>1070</v>
      </c>
      <c r="J1071" s="87">
        <v>6.2069255965664283</v>
      </c>
      <c r="K1071" s="87">
        <v>11.382440472604372</v>
      </c>
    </row>
    <row r="1072" spans="9:11" x14ac:dyDescent="0.25">
      <c r="I1072" s="86">
        <v>1071</v>
      </c>
      <c r="J1072" s="87">
        <v>-0.57248254096359474</v>
      </c>
      <c r="K1072" s="87">
        <v>6.2260844073936168</v>
      </c>
    </row>
    <row r="1073" spans="9:11" x14ac:dyDescent="0.25">
      <c r="I1073" s="86">
        <v>1072</v>
      </c>
      <c r="J1073" s="87">
        <v>-3.5169940647236331E-2</v>
      </c>
      <c r="K1073" s="87">
        <v>6.1003696816445565</v>
      </c>
    </row>
    <row r="1074" spans="9:11" x14ac:dyDescent="0.25">
      <c r="I1074" s="86">
        <v>1073</v>
      </c>
      <c r="J1074" s="87">
        <v>1.8946514272195438</v>
      </c>
      <c r="K1074" s="87">
        <v>6.8960743193925991</v>
      </c>
    </row>
    <row r="1075" spans="9:11" x14ac:dyDescent="0.25">
      <c r="I1075" s="86">
        <v>1074</v>
      </c>
      <c r="J1075" s="87">
        <v>3.5074652321620867</v>
      </c>
      <c r="K1075" s="87">
        <v>8.7524828076297716</v>
      </c>
    </row>
    <row r="1076" spans="9:11" x14ac:dyDescent="0.25">
      <c r="I1076" s="86">
        <v>1075</v>
      </c>
      <c r="J1076" s="87">
        <v>1.982373284376453</v>
      </c>
      <c r="K1076" s="87">
        <v>7.3550738055377964</v>
      </c>
    </row>
    <row r="1077" spans="9:11" x14ac:dyDescent="0.25">
      <c r="I1077" s="86">
        <v>1076</v>
      </c>
      <c r="J1077" s="87">
        <v>0.79278030355768614</v>
      </c>
      <c r="K1077" s="87">
        <v>6.4831571559414618</v>
      </c>
    </row>
    <row r="1078" spans="9:11" x14ac:dyDescent="0.25">
      <c r="I1078" s="86">
        <v>1077</v>
      </c>
      <c r="J1078" s="87">
        <v>-0.69624498060426809</v>
      </c>
      <c r="K1078" s="87">
        <v>6.7920000016484599</v>
      </c>
    </row>
    <row r="1079" spans="9:11" x14ac:dyDescent="0.25">
      <c r="I1079" s="86">
        <v>1078</v>
      </c>
      <c r="J1079" s="87">
        <v>1.6907459705397869</v>
      </c>
      <c r="K1079" s="87">
        <v>7.6577966559342352</v>
      </c>
    </row>
    <row r="1080" spans="9:11" x14ac:dyDescent="0.25">
      <c r="I1080" s="86">
        <v>1079</v>
      </c>
      <c r="J1080" s="87">
        <v>0.12514290795256766</v>
      </c>
      <c r="K1080" s="87">
        <v>5.2413085155133512</v>
      </c>
    </row>
    <row r="1081" spans="9:11" x14ac:dyDescent="0.25">
      <c r="I1081" s="86">
        <v>1080</v>
      </c>
      <c r="J1081" s="87">
        <v>1.7887532881929498</v>
      </c>
      <c r="K1081" s="87">
        <v>4.578645450107719</v>
      </c>
    </row>
    <row r="1082" spans="9:11" x14ac:dyDescent="0.25">
      <c r="I1082" s="86">
        <v>1081</v>
      </c>
      <c r="J1082" s="87">
        <v>1.2256556128885183</v>
      </c>
      <c r="K1082" s="87">
        <v>7.07159668043683</v>
      </c>
    </row>
    <row r="1083" spans="9:11" x14ac:dyDescent="0.25">
      <c r="I1083" s="86">
        <v>1082</v>
      </c>
      <c r="J1083" s="87">
        <v>2.3859638670417098</v>
      </c>
      <c r="K1083" s="87">
        <v>7.4387245302642633</v>
      </c>
    </row>
    <row r="1084" spans="9:11" x14ac:dyDescent="0.25">
      <c r="I1084" s="86">
        <v>1083</v>
      </c>
      <c r="J1084" s="87">
        <v>0.87790824043539439</v>
      </c>
      <c r="K1084" s="87">
        <v>5.0046383940580617</v>
      </c>
    </row>
    <row r="1085" spans="9:11" x14ac:dyDescent="0.25">
      <c r="I1085" s="86">
        <v>1084</v>
      </c>
      <c r="J1085" s="87">
        <v>4.1890806905599636</v>
      </c>
      <c r="K1085" s="87">
        <v>9.9742015688176018</v>
      </c>
    </row>
    <row r="1086" spans="9:11" x14ac:dyDescent="0.25">
      <c r="I1086" s="86">
        <v>1085</v>
      </c>
      <c r="J1086" s="87">
        <v>-2.1726185691476045</v>
      </c>
      <c r="K1086" s="87">
        <v>5.9089845457927277</v>
      </c>
    </row>
    <row r="1087" spans="9:11" x14ac:dyDescent="0.25">
      <c r="I1087" s="86">
        <v>1086</v>
      </c>
      <c r="J1087" s="87">
        <v>4.7624608170071934</v>
      </c>
      <c r="K1087" s="87">
        <v>11.516958366130808</v>
      </c>
    </row>
    <row r="1088" spans="9:11" x14ac:dyDescent="0.25">
      <c r="I1088" s="86">
        <v>1087</v>
      </c>
      <c r="J1088" s="87">
        <v>1.4110942083198013</v>
      </c>
      <c r="K1088" s="87">
        <v>5.6913247591519953</v>
      </c>
    </row>
    <row r="1089" spans="9:11" x14ac:dyDescent="0.25">
      <c r="I1089" s="86">
        <v>1088</v>
      </c>
      <c r="J1089" s="87">
        <v>3.2446949334018464</v>
      </c>
      <c r="K1089" s="87">
        <v>8.0212711034111965</v>
      </c>
    </row>
    <row r="1090" spans="9:11" x14ac:dyDescent="0.25">
      <c r="I1090" s="86">
        <v>1089</v>
      </c>
      <c r="J1090" s="87">
        <v>-1.08634616414564</v>
      </c>
      <c r="K1090" s="87">
        <v>5.9055230056759669</v>
      </c>
    </row>
    <row r="1091" spans="9:11" x14ac:dyDescent="0.25">
      <c r="I1091" s="86">
        <v>1090</v>
      </c>
      <c r="J1091" s="87">
        <v>3.1481787416381062</v>
      </c>
      <c r="K1091" s="87">
        <v>10.591787120196521</v>
      </c>
    </row>
    <row r="1092" spans="9:11" x14ac:dyDescent="0.25">
      <c r="I1092" s="86">
        <v>1091</v>
      </c>
      <c r="J1092" s="87">
        <v>1.6188695580611849</v>
      </c>
      <c r="K1092" s="87">
        <v>6.7910719909207113</v>
      </c>
    </row>
    <row r="1093" spans="9:11" x14ac:dyDescent="0.25">
      <c r="I1093" s="86">
        <v>1092</v>
      </c>
      <c r="J1093" s="87">
        <v>5.8334446121418431</v>
      </c>
      <c r="K1093" s="87">
        <v>9.02764157065468</v>
      </c>
    </row>
    <row r="1094" spans="9:11" x14ac:dyDescent="0.25">
      <c r="I1094" s="86">
        <v>1093</v>
      </c>
      <c r="J1094" s="87">
        <v>0.32607778751684169</v>
      </c>
      <c r="K1094" s="87">
        <v>6.2610760575260356</v>
      </c>
    </row>
    <row r="1095" spans="9:11" x14ac:dyDescent="0.25">
      <c r="I1095" s="86">
        <v>1094</v>
      </c>
      <c r="J1095" s="87">
        <v>0.65045726327074638</v>
      </c>
      <c r="K1095" s="87">
        <v>4.3880260167676752</v>
      </c>
    </row>
    <row r="1096" spans="9:11" x14ac:dyDescent="0.25">
      <c r="I1096" s="86">
        <v>1095</v>
      </c>
      <c r="J1096" s="87">
        <v>-0.70646551961225246</v>
      </c>
      <c r="K1096" s="87">
        <v>6.1953018012364067</v>
      </c>
    </row>
    <row r="1097" spans="9:11" x14ac:dyDescent="0.25">
      <c r="I1097" s="86">
        <v>1096</v>
      </c>
      <c r="J1097" s="87">
        <v>2.9323341295886314</v>
      </c>
      <c r="K1097" s="87">
        <v>10.247253625692309</v>
      </c>
    </row>
    <row r="1098" spans="9:11" x14ac:dyDescent="0.25">
      <c r="I1098" s="86">
        <v>1097</v>
      </c>
      <c r="J1098" s="87">
        <v>10.954069424581693</v>
      </c>
      <c r="K1098" s="87">
        <v>13.717296370508334</v>
      </c>
    </row>
    <row r="1099" spans="9:11" x14ac:dyDescent="0.25">
      <c r="I1099" s="86">
        <v>1098</v>
      </c>
      <c r="J1099" s="87">
        <v>3.5705297077299587</v>
      </c>
      <c r="K1099" s="87">
        <v>8.9359662634092558</v>
      </c>
    </row>
    <row r="1100" spans="9:11" x14ac:dyDescent="0.25">
      <c r="I1100" s="86">
        <v>1099</v>
      </c>
      <c r="J1100" s="87">
        <v>0.99060248998655531</v>
      </c>
      <c r="K1100" s="87">
        <v>6.6766553412081286</v>
      </c>
    </row>
    <row r="1101" spans="9:11" x14ac:dyDescent="0.25">
      <c r="I1101" s="86">
        <v>1100</v>
      </c>
      <c r="J1101" s="87">
        <v>4.8569951127449755</v>
      </c>
      <c r="K1101" s="87">
        <v>11.057851435553934</v>
      </c>
    </row>
    <row r="1102" spans="9:11" x14ac:dyDescent="0.25">
      <c r="I1102" s="86">
        <v>1101</v>
      </c>
      <c r="J1102" s="87">
        <v>-0.8629307633566965</v>
      </c>
      <c r="K1102" s="87">
        <v>5.4249789113752973</v>
      </c>
    </row>
    <row r="1103" spans="9:11" x14ac:dyDescent="0.25">
      <c r="I1103" s="86">
        <v>1102</v>
      </c>
      <c r="J1103" s="87">
        <v>2.345707615665777</v>
      </c>
      <c r="K1103" s="87">
        <v>7.2807762619780174</v>
      </c>
    </row>
    <row r="1104" spans="9:11" x14ac:dyDescent="0.25">
      <c r="I1104" s="86">
        <v>1103</v>
      </c>
      <c r="J1104" s="87">
        <v>4.2984656136332049</v>
      </c>
      <c r="K1104" s="87">
        <v>7.9506953476916538</v>
      </c>
    </row>
    <row r="1105" spans="9:11" x14ac:dyDescent="0.25">
      <c r="I1105" s="86">
        <v>1104</v>
      </c>
      <c r="J1105" s="87">
        <v>2.8780768522926294</v>
      </c>
      <c r="K1105" s="87">
        <v>9.0060581996382183</v>
      </c>
    </row>
    <row r="1106" spans="9:11" x14ac:dyDescent="0.25">
      <c r="I1106" s="86">
        <v>1105</v>
      </c>
      <c r="J1106" s="87">
        <v>2.1976735812926123</v>
      </c>
      <c r="K1106" s="87">
        <v>5.8870675883217976</v>
      </c>
    </row>
    <row r="1107" spans="9:11" x14ac:dyDescent="0.25">
      <c r="I1107" s="86">
        <v>1106</v>
      </c>
      <c r="J1107" s="87">
        <v>2.1240345756271726</v>
      </c>
      <c r="K1107" s="87">
        <v>5.7423195482521843</v>
      </c>
    </row>
    <row r="1108" spans="9:11" x14ac:dyDescent="0.25">
      <c r="I1108" s="86">
        <v>1107</v>
      </c>
      <c r="J1108" s="87">
        <v>0.41153966734041703</v>
      </c>
      <c r="K1108" s="87">
        <v>5.9223069099105556</v>
      </c>
    </row>
    <row r="1109" spans="9:11" x14ac:dyDescent="0.25">
      <c r="I1109" s="86">
        <v>1108</v>
      </c>
      <c r="J1109" s="87">
        <v>-0.30848142139180279</v>
      </c>
      <c r="K1109" s="87">
        <v>6.3261012955691411</v>
      </c>
    </row>
    <row r="1110" spans="9:11" x14ac:dyDescent="0.25">
      <c r="I1110" s="86">
        <v>1109</v>
      </c>
      <c r="J1110" s="87">
        <v>1.6855250780572959</v>
      </c>
      <c r="K1110" s="87">
        <v>6.0157650560755158</v>
      </c>
    </row>
    <row r="1111" spans="9:11" x14ac:dyDescent="0.25">
      <c r="I1111" s="86">
        <v>1110</v>
      </c>
      <c r="J1111" s="87">
        <v>0.7265916511181727</v>
      </c>
      <c r="K1111" s="87">
        <v>5.3109299520962221</v>
      </c>
    </row>
    <row r="1112" spans="9:11" x14ac:dyDescent="0.25">
      <c r="I1112" s="86">
        <v>1111</v>
      </c>
      <c r="J1112" s="87">
        <v>0.48938848743137076</v>
      </c>
      <c r="K1112" s="87">
        <v>6.6540054604594498</v>
      </c>
    </row>
    <row r="1113" spans="9:11" x14ac:dyDescent="0.25">
      <c r="I1113" s="86">
        <v>1112</v>
      </c>
      <c r="J1113" s="87">
        <v>0.75072257578250934</v>
      </c>
      <c r="K1113" s="87">
        <v>6.6375596996911401</v>
      </c>
    </row>
    <row r="1114" spans="9:11" x14ac:dyDescent="0.25">
      <c r="I1114" s="86">
        <v>1113</v>
      </c>
      <c r="J1114" s="87">
        <v>-1.4048191542202675</v>
      </c>
      <c r="K1114" s="87">
        <v>5.1194762127102331</v>
      </c>
    </row>
    <row r="1115" spans="9:11" x14ac:dyDescent="0.25">
      <c r="I1115" s="86">
        <v>1114</v>
      </c>
      <c r="J1115" s="87">
        <v>0.63152608745238892</v>
      </c>
      <c r="K1115" s="87">
        <v>5.484963843397634</v>
      </c>
    </row>
    <row r="1116" spans="9:11" x14ac:dyDescent="0.25">
      <c r="I1116" s="86">
        <v>1115</v>
      </c>
      <c r="J1116" s="87">
        <v>1.6475500703123647</v>
      </c>
      <c r="K1116" s="87">
        <v>6.576316289679017</v>
      </c>
    </row>
    <row r="1117" spans="9:11" x14ac:dyDescent="0.25">
      <c r="I1117" s="86">
        <v>1116</v>
      </c>
      <c r="J1117" s="87">
        <v>1.3440312965256238</v>
      </c>
      <c r="K1117" s="87">
        <v>4.8681989582952241</v>
      </c>
    </row>
    <row r="1118" spans="9:11" x14ac:dyDescent="0.25">
      <c r="I1118" s="86">
        <v>1117</v>
      </c>
      <c r="J1118" s="87">
        <v>4.0621183889818813</v>
      </c>
      <c r="K1118" s="87">
        <v>8.803766376427264</v>
      </c>
    </row>
    <row r="1119" spans="9:11" x14ac:dyDescent="0.25">
      <c r="I1119" s="86">
        <v>1118</v>
      </c>
      <c r="J1119" s="87">
        <v>0.62125207801269422</v>
      </c>
      <c r="K1119" s="87">
        <v>6.5900074124979247</v>
      </c>
    </row>
    <row r="1120" spans="9:11" x14ac:dyDescent="0.25">
      <c r="I1120" s="86">
        <v>1119</v>
      </c>
      <c r="J1120" s="87">
        <v>3.1437199712960249</v>
      </c>
      <c r="K1120" s="87">
        <v>8.3133704724089625</v>
      </c>
    </row>
    <row r="1121" spans="9:11" x14ac:dyDescent="0.25">
      <c r="I1121" s="86">
        <v>1120</v>
      </c>
      <c r="J1121" s="87">
        <v>1.6229065856360281</v>
      </c>
      <c r="K1121" s="87">
        <v>7.1435522223203316</v>
      </c>
    </row>
    <row r="1122" spans="9:11" x14ac:dyDescent="0.25">
      <c r="I1122" s="86">
        <v>1121</v>
      </c>
      <c r="J1122" s="87">
        <v>2.579959484563302</v>
      </c>
      <c r="K1122" s="87">
        <v>7.2387733017180897</v>
      </c>
    </row>
    <row r="1123" spans="9:11" x14ac:dyDescent="0.25">
      <c r="I1123" s="86">
        <v>1122</v>
      </c>
      <c r="J1123" s="87">
        <v>0.73289962960328037</v>
      </c>
      <c r="K1123" s="87">
        <v>6.3883116734015291</v>
      </c>
    </row>
    <row r="1124" spans="9:11" x14ac:dyDescent="0.25">
      <c r="I1124" s="86">
        <v>1123</v>
      </c>
      <c r="J1124" s="87">
        <v>0.8644645441272667</v>
      </c>
      <c r="K1124" s="87">
        <v>5.6065943527214026</v>
      </c>
    </row>
    <row r="1125" spans="9:11" x14ac:dyDescent="0.25">
      <c r="I1125" s="86">
        <v>1124</v>
      </c>
      <c r="J1125" s="87">
        <v>1.3886308541737211</v>
      </c>
      <c r="K1125" s="87">
        <v>6.7055039168304171</v>
      </c>
    </row>
    <row r="1126" spans="9:11" x14ac:dyDescent="0.25">
      <c r="I1126" s="86">
        <v>1125</v>
      </c>
      <c r="J1126" s="87">
        <v>2.5765671842384839</v>
      </c>
      <c r="K1126" s="87">
        <v>7.5540333171604548</v>
      </c>
    </row>
    <row r="1127" spans="9:11" x14ac:dyDescent="0.25">
      <c r="I1127" s="86">
        <v>1126</v>
      </c>
      <c r="J1127" s="87">
        <v>1.4049753881973484</v>
      </c>
      <c r="K1127" s="87">
        <v>7.4681094595950102</v>
      </c>
    </row>
    <row r="1128" spans="9:11" x14ac:dyDescent="0.25">
      <c r="I1128" s="86">
        <v>1127</v>
      </c>
      <c r="J1128" s="87">
        <v>-2.132763771726669</v>
      </c>
      <c r="K1128" s="87">
        <v>4.244425129564374</v>
      </c>
    </row>
    <row r="1129" spans="9:11" x14ac:dyDescent="0.25">
      <c r="I1129" s="86">
        <v>1128</v>
      </c>
      <c r="J1129" s="87">
        <v>2.5653005598196863</v>
      </c>
      <c r="K1129" s="87">
        <v>7.7491401943758236</v>
      </c>
    </row>
    <row r="1130" spans="9:11" x14ac:dyDescent="0.25">
      <c r="I1130" s="86">
        <v>1129</v>
      </c>
      <c r="J1130" s="87">
        <v>1.5022356971223321</v>
      </c>
      <c r="K1130" s="87">
        <v>7.1397835908441216</v>
      </c>
    </row>
    <row r="1131" spans="9:11" x14ac:dyDescent="0.25">
      <c r="I1131" s="86">
        <v>1130</v>
      </c>
      <c r="J1131" s="87">
        <v>1.1005764530946935</v>
      </c>
      <c r="K1131" s="87">
        <v>7.5050098838395281</v>
      </c>
    </row>
    <row r="1132" spans="9:11" x14ac:dyDescent="0.25">
      <c r="I1132" s="86">
        <v>1131</v>
      </c>
      <c r="J1132" s="87">
        <v>5.8216542729414122E-2</v>
      </c>
      <c r="K1132" s="87">
        <v>7.5843771328183198</v>
      </c>
    </row>
    <row r="1133" spans="9:11" x14ac:dyDescent="0.25">
      <c r="I1133" s="86">
        <v>1132</v>
      </c>
      <c r="J1133" s="87">
        <v>3.7271681689824021</v>
      </c>
      <c r="K1133" s="87">
        <v>9.0464365113576299</v>
      </c>
    </row>
    <row r="1134" spans="9:11" x14ac:dyDescent="0.25">
      <c r="I1134" s="86">
        <v>1133</v>
      </c>
      <c r="J1134" s="87">
        <v>2.6283972204641444</v>
      </c>
      <c r="K1134" s="87">
        <v>7.9548536528395175</v>
      </c>
    </row>
    <row r="1135" spans="9:11" x14ac:dyDescent="0.25">
      <c r="I1135" s="86">
        <v>1134</v>
      </c>
      <c r="J1135" s="87">
        <v>-1.1444333646267886</v>
      </c>
      <c r="K1135" s="87">
        <v>5.1133972250583932</v>
      </c>
    </row>
    <row r="1136" spans="9:11" x14ac:dyDescent="0.25">
      <c r="I1136" s="86">
        <v>1135</v>
      </c>
      <c r="J1136" s="87">
        <v>0.54073944716730971</v>
      </c>
      <c r="K1136" s="87">
        <v>5.9736139059421927</v>
      </c>
    </row>
    <row r="1137" spans="9:11" x14ac:dyDescent="0.25">
      <c r="I1137" s="86">
        <v>1136</v>
      </c>
      <c r="J1137" s="87">
        <v>1.2506219153170042</v>
      </c>
      <c r="K1137" s="87">
        <v>7.1657611442976776</v>
      </c>
    </row>
    <row r="1138" spans="9:11" x14ac:dyDescent="0.25">
      <c r="I1138" s="86">
        <v>1137</v>
      </c>
      <c r="J1138" s="87">
        <v>4.5806822392332149</v>
      </c>
      <c r="K1138" s="87">
        <v>8.8246974393623532</v>
      </c>
    </row>
    <row r="1139" spans="9:11" x14ac:dyDescent="0.25">
      <c r="I1139" s="86">
        <v>1138</v>
      </c>
      <c r="J1139" s="87">
        <v>-1.1382889825781977</v>
      </c>
      <c r="K1139" s="87">
        <v>5.687323315913468</v>
      </c>
    </row>
    <row r="1140" spans="9:11" x14ac:dyDescent="0.25">
      <c r="I1140" s="86">
        <v>1139</v>
      </c>
      <c r="J1140" s="87">
        <v>2.2208625274647122</v>
      </c>
      <c r="K1140" s="87">
        <v>6.316326964912407</v>
      </c>
    </row>
    <row r="1141" spans="9:11" x14ac:dyDescent="0.25">
      <c r="I1141" s="86">
        <v>1140</v>
      </c>
      <c r="J1141" s="87">
        <v>0.14706108149568298</v>
      </c>
      <c r="K1141" s="87">
        <v>6.680951981199212</v>
      </c>
    </row>
    <row r="1142" spans="9:11" x14ac:dyDescent="0.25">
      <c r="I1142" s="86">
        <v>1141</v>
      </c>
      <c r="J1142" s="87">
        <v>4.872666355701643</v>
      </c>
      <c r="K1142" s="87">
        <v>9.8165336898500577</v>
      </c>
    </row>
    <row r="1143" spans="9:11" x14ac:dyDescent="0.25">
      <c r="I1143" s="86">
        <v>1142</v>
      </c>
      <c r="J1143" s="87">
        <v>5.9613536291762941</v>
      </c>
      <c r="K1143" s="87">
        <v>9.3676791570551128</v>
      </c>
    </row>
    <row r="1144" spans="9:11" x14ac:dyDescent="0.25">
      <c r="I1144" s="86">
        <v>1143</v>
      </c>
      <c r="J1144" s="87">
        <v>2.2408253377154495</v>
      </c>
      <c r="K1144" s="87">
        <v>6.6354358323999305</v>
      </c>
    </row>
    <row r="1145" spans="9:11" x14ac:dyDescent="0.25">
      <c r="I1145" s="86">
        <v>1144</v>
      </c>
      <c r="J1145" s="87">
        <v>5.5772406254465974</v>
      </c>
      <c r="K1145" s="87">
        <v>8.6233165768523623</v>
      </c>
    </row>
    <row r="1146" spans="9:11" x14ac:dyDescent="0.25">
      <c r="I1146" s="86">
        <v>1145</v>
      </c>
      <c r="J1146" s="87">
        <v>3.1004844216947847</v>
      </c>
      <c r="K1146" s="87">
        <v>9.2723467648206324</v>
      </c>
    </row>
    <row r="1147" spans="9:11" x14ac:dyDescent="0.25">
      <c r="I1147" s="86">
        <v>1146</v>
      </c>
      <c r="J1147" s="87">
        <v>-0.42150490349379055</v>
      </c>
      <c r="K1147" s="87">
        <v>6.1017976327232892</v>
      </c>
    </row>
    <row r="1148" spans="9:11" x14ac:dyDescent="0.25">
      <c r="I1148" s="86">
        <v>1147</v>
      </c>
      <c r="J1148" s="87">
        <v>-2.3248327348476039E-2</v>
      </c>
      <c r="K1148" s="87">
        <v>6.7355542331488811</v>
      </c>
    </row>
    <row r="1149" spans="9:11" x14ac:dyDescent="0.25">
      <c r="I1149" s="86">
        <v>1148</v>
      </c>
      <c r="J1149" s="87">
        <v>0.64884085686487847</v>
      </c>
      <c r="K1149" s="87">
        <v>6.4102870126693627</v>
      </c>
    </row>
    <row r="1150" spans="9:11" x14ac:dyDescent="0.25">
      <c r="I1150" s="86">
        <v>1149</v>
      </c>
      <c r="J1150" s="87">
        <v>-1.4836592653437286E-2</v>
      </c>
      <c r="K1150" s="87">
        <v>6.2748183304706409</v>
      </c>
    </row>
    <row r="1151" spans="9:11" x14ac:dyDescent="0.25">
      <c r="I1151" s="86">
        <v>1150</v>
      </c>
      <c r="J1151" s="87">
        <v>1.5633867577971801</v>
      </c>
      <c r="K1151" s="87">
        <v>5.5016615061504233</v>
      </c>
    </row>
    <row r="1152" spans="9:11" x14ac:dyDescent="0.25">
      <c r="I1152" s="86">
        <v>1151</v>
      </c>
      <c r="J1152" s="87">
        <v>0.8987012057130821</v>
      </c>
      <c r="K1152" s="87">
        <v>6.2485595361183321</v>
      </c>
    </row>
    <row r="1153" spans="9:11" x14ac:dyDescent="0.25">
      <c r="I1153" s="86">
        <v>1152</v>
      </c>
      <c r="J1153" s="87">
        <v>0.33544685410915509</v>
      </c>
      <c r="K1153" s="87">
        <v>6.4508760128211691</v>
      </c>
    </row>
    <row r="1154" spans="9:11" x14ac:dyDescent="0.25">
      <c r="I1154" s="86">
        <v>1153</v>
      </c>
      <c r="J1154" s="87">
        <v>-1.3574087420851528</v>
      </c>
      <c r="K1154" s="87">
        <v>5.2831560038589132</v>
      </c>
    </row>
    <row r="1155" spans="9:11" x14ac:dyDescent="0.25">
      <c r="I1155" s="86">
        <v>1154</v>
      </c>
      <c r="J1155" s="87">
        <v>0.23035077933410708</v>
      </c>
      <c r="K1155" s="87">
        <v>5.9273665973016394</v>
      </c>
    </row>
    <row r="1156" spans="9:11" x14ac:dyDescent="0.25">
      <c r="I1156" s="86">
        <v>1155</v>
      </c>
      <c r="J1156" s="87">
        <v>2.0508357112522901</v>
      </c>
      <c r="K1156" s="87">
        <v>7.7829053116486611</v>
      </c>
    </row>
    <row r="1157" spans="9:11" x14ac:dyDescent="0.25">
      <c r="I1157" s="86">
        <v>1156</v>
      </c>
      <c r="J1157" s="87">
        <v>0.43068583392802484</v>
      </c>
      <c r="K1157" s="87">
        <v>7.3674043195621968</v>
      </c>
    </row>
    <row r="1158" spans="9:11" x14ac:dyDescent="0.25">
      <c r="I1158" s="86">
        <v>1157</v>
      </c>
      <c r="J1158" s="87">
        <v>0.37013388325138052</v>
      </c>
      <c r="K1158" s="87">
        <v>4.5699801333834582</v>
      </c>
    </row>
    <row r="1159" spans="9:11" x14ac:dyDescent="0.25">
      <c r="I1159" s="86">
        <v>1158</v>
      </c>
      <c r="J1159" s="87">
        <v>0.12705227324124557</v>
      </c>
      <c r="K1159" s="87">
        <v>5.1516744307161293</v>
      </c>
    </row>
    <row r="1160" spans="9:11" x14ac:dyDescent="0.25">
      <c r="I1160" s="86">
        <v>1159</v>
      </c>
      <c r="J1160" s="87">
        <v>-0.51463034762453841</v>
      </c>
      <c r="K1160" s="87">
        <v>4.8060553343470707</v>
      </c>
    </row>
    <row r="1161" spans="9:11" x14ac:dyDescent="0.25">
      <c r="I1161" s="86">
        <v>1160</v>
      </c>
      <c r="J1161" s="87">
        <v>-0.91708377474714009</v>
      </c>
      <c r="K1161" s="87">
        <v>5.3289389392020805</v>
      </c>
    </row>
    <row r="1162" spans="9:11" x14ac:dyDescent="0.25">
      <c r="I1162" s="86">
        <v>1161</v>
      </c>
      <c r="J1162" s="87">
        <v>2.9742167014658554</v>
      </c>
      <c r="K1162" s="87">
        <v>7.2373882597133523</v>
      </c>
    </row>
    <row r="1163" spans="9:11" x14ac:dyDescent="0.25">
      <c r="I1163" s="86">
        <v>1162</v>
      </c>
      <c r="J1163" s="87">
        <v>2.979080037734926</v>
      </c>
      <c r="K1163" s="87">
        <v>9.7294598662773666</v>
      </c>
    </row>
    <row r="1164" spans="9:11" x14ac:dyDescent="0.25">
      <c r="I1164" s="86">
        <v>1163</v>
      </c>
      <c r="J1164" s="87">
        <v>2.3699080016409084</v>
      </c>
      <c r="K1164" s="87">
        <v>7.2091236616733543</v>
      </c>
    </row>
    <row r="1165" spans="9:11" x14ac:dyDescent="0.25">
      <c r="I1165" s="86">
        <v>1164</v>
      </c>
      <c r="J1165" s="87">
        <v>6.8511615658577618</v>
      </c>
      <c r="K1165" s="87">
        <v>10.753482074110707</v>
      </c>
    </row>
    <row r="1166" spans="9:11" x14ac:dyDescent="0.25">
      <c r="I1166" s="86">
        <v>1165</v>
      </c>
      <c r="J1166" s="87">
        <v>1.3095467894586221</v>
      </c>
      <c r="K1166" s="87">
        <v>6.8737400154633264</v>
      </c>
    </row>
    <row r="1167" spans="9:11" x14ac:dyDescent="0.25">
      <c r="I1167" s="86">
        <v>1166</v>
      </c>
      <c r="J1167" s="87">
        <v>0.20112960705728078</v>
      </c>
      <c r="K1167" s="87">
        <v>5.9922473444182982</v>
      </c>
    </row>
    <row r="1168" spans="9:11" x14ac:dyDescent="0.25">
      <c r="I1168" s="86">
        <v>1167</v>
      </c>
      <c r="J1168" s="87">
        <v>1.8428137961073663</v>
      </c>
      <c r="K1168" s="87">
        <v>6.5466234902159286</v>
      </c>
    </row>
    <row r="1169" spans="9:11" x14ac:dyDescent="0.25">
      <c r="I1169" s="86">
        <v>1168</v>
      </c>
      <c r="J1169" s="87">
        <v>3.9189024152261753</v>
      </c>
      <c r="K1169" s="87">
        <v>6.471169090093384</v>
      </c>
    </row>
    <row r="1170" spans="9:11" x14ac:dyDescent="0.25">
      <c r="I1170" s="86">
        <v>1169</v>
      </c>
      <c r="J1170" s="87">
        <v>0.61290394660760095</v>
      </c>
      <c r="K1170" s="87">
        <v>5.3681861315482866</v>
      </c>
    </row>
    <row r="1171" spans="9:11" x14ac:dyDescent="0.25">
      <c r="I1171" s="86">
        <v>1170</v>
      </c>
      <c r="J1171" s="87">
        <v>1.7924652085233994</v>
      </c>
      <c r="K1171" s="87">
        <v>6.0474257235454578</v>
      </c>
    </row>
    <row r="1172" spans="9:11" x14ac:dyDescent="0.25">
      <c r="I1172" s="86">
        <v>1171</v>
      </c>
      <c r="J1172" s="87">
        <v>4.8143681176590505</v>
      </c>
      <c r="K1172" s="87">
        <v>8.7375388214953826</v>
      </c>
    </row>
    <row r="1173" spans="9:11" x14ac:dyDescent="0.25">
      <c r="I1173" s="86">
        <v>1172</v>
      </c>
      <c r="J1173" s="87">
        <v>4.1722455166375711</v>
      </c>
      <c r="K1173" s="87">
        <v>9.606560379126627</v>
      </c>
    </row>
    <row r="1174" spans="9:11" x14ac:dyDescent="0.25">
      <c r="I1174" s="86">
        <v>1173</v>
      </c>
      <c r="J1174" s="87">
        <v>5.1381721673133072</v>
      </c>
      <c r="K1174" s="87">
        <v>8.8605817755316707</v>
      </c>
    </row>
    <row r="1175" spans="9:11" x14ac:dyDescent="0.25">
      <c r="I1175" s="86">
        <v>1174</v>
      </c>
      <c r="J1175" s="87">
        <v>1.1004536175242912</v>
      </c>
      <c r="K1175" s="87">
        <v>6.4244258234356533</v>
      </c>
    </row>
    <row r="1176" spans="9:11" x14ac:dyDescent="0.25">
      <c r="I1176" s="86">
        <v>1175</v>
      </c>
      <c r="J1176" s="87">
        <v>5.8887495517804034E-2</v>
      </c>
      <c r="K1176" s="87">
        <v>6.655459387507193</v>
      </c>
    </row>
    <row r="1177" spans="9:11" x14ac:dyDescent="0.25">
      <c r="I1177" s="86">
        <v>1176</v>
      </c>
      <c r="J1177" s="87">
        <v>1.0107265660474853</v>
      </c>
      <c r="K1177" s="87">
        <v>5.8993566568163249</v>
      </c>
    </row>
    <row r="1178" spans="9:11" x14ac:dyDescent="0.25">
      <c r="I1178" s="86">
        <v>1177</v>
      </c>
      <c r="J1178" s="87">
        <v>1.0247961048157697</v>
      </c>
      <c r="K1178" s="87">
        <v>6.4351615098306461</v>
      </c>
    </row>
    <row r="1179" spans="9:11" x14ac:dyDescent="0.25">
      <c r="I1179" s="86">
        <v>1178</v>
      </c>
      <c r="J1179" s="87">
        <v>2.8901696275698088</v>
      </c>
      <c r="K1179" s="87">
        <v>9.4207318962523185</v>
      </c>
    </row>
    <row r="1180" spans="9:11" x14ac:dyDescent="0.25">
      <c r="I1180" s="86">
        <v>1179</v>
      </c>
      <c r="J1180" s="87">
        <v>2.362212179793393</v>
      </c>
      <c r="K1180" s="87">
        <v>9.277047084384435</v>
      </c>
    </row>
    <row r="1181" spans="9:11" x14ac:dyDescent="0.25">
      <c r="I1181" s="86">
        <v>1180</v>
      </c>
      <c r="J1181" s="87">
        <v>3.1679273779146424</v>
      </c>
      <c r="K1181" s="87">
        <v>6.0039411327770233</v>
      </c>
    </row>
    <row r="1182" spans="9:11" x14ac:dyDescent="0.25">
      <c r="I1182" s="86">
        <v>1181</v>
      </c>
      <c r="J1182" s="87">
        <v>-1.4460026932310255</v>
      </c>
      <c r="K1182" s="87">
        <v>5.7843022772162369</v>
      </c>
    </row>
    <row r="1183" spans="9:11" x14ac:dyDescent="0.25">
      <c r="I1183" s="86">
        <v>1182</v>
      </c>
      <c r="J1183" s="87">
        <v>2.3487438923228021</v>
      </c>
      <c r="K1183" s="87">
        <v>6.1849201204419932</v>
      </c>
    </row>
    <row r="1184" spans="9:11" x14ac:dyDescent="0.25">
      <c r="I1184" s="86">
        <v>1183</v>
      </c>
      <c r="J1184" s="87">
        <v>2.6570440533230055</v>
      </c>
      <c r="K1184" s="87">
        <v>6.1237661397231564</v>
      </c>
    </row>
    <row r="1185" spans="9:11" x14ac:dyDescent="0.25">
      <c r="I1185" s="86">
        <v>1184</v>
      </c>
      <c r="J1185" s="87">
        <v>4.2214070276883069</v>
      </c>
      <c r="K1185" s="87">
        <v>9.4304350859228059</v>
      </c>
    </row>
    <row r="1186" spans="9:11" x14ac:dyDescent="0.25">
      <c r="I1186" s="86">
        <v>1185</v>
      </c>
      <c r="J1186" s="87">
        <v>3.075005593808986</v>
      </c>
      <c r="K1186" s="87">
        <v>7.5990612876659682</v>
      </c>
    </row>
    <row r="1187" spans="9:11" x14ac:dyDescent="0.25">
      <c r="I1187" s="86">
        <v>1186</v>
      </c>
      <c r="J1187" s="87">
        <v>1.4423852367933572</v>
      </c>
      <c r="K1187" s="87">
        <v>6.9679903145305309</v>
      </c>
    </row>
    <row r="1188" spans="9:11" x14ac:dyDescent="0.25">
      <c r="I1188" s="86">
        <v>1187</v>
      </c>
      <c r="J1188" s="87">
        <v>0.45335799445603975</v>
      </c>
      <c r="K1188" s="87">
        <v>6.1817729799259036</v>
      </c>
    </row>
    <row r="1189" spans="9:11" x14ac:dyDescent="0.25">
      <c r="I1189" s="86">
        <v>1188</v>
      </c>
      <c r="J1189" s="87">
        <v>1.3055363046862456</v>
      </c>
      <c r="K1189" s="87">
        <v>6.2462174896299105</v>
      </c>
    </row>
    <row r="1190" spans="9:11" x14ac:dyDescent="0.25">
      <c r="I1190" s="86">
        <v>1189</v>
      </c>
      <c r="J1190" s="87">
        <v>1.7206227147009026</v>
      </c>
      <c r="K1190" s="87">
        <v>7.0339082187970732</v>
      </c>
    </row>
    <row r="1191" spans="9:11" x14ac:dyDescent="0.25">
      <c r="I1191" s="86">
        <v>1190</v>
      </c>
      <c r="J1191" s="87">
        <v>-1.4775894838774999</v>
      </c>
      <c r="K1191" s="87">
        <v>5.1711699626708985</v>
      </c>
    </row>
    <row r="1192" spans="9:11" x14ac:dyDescent="0.25">
      <c r="I1192" s="86">
        <v>1191</v>
      </c>
      <c r="J1192" s="87">
        <v>2.4900135778822818</v>
      </c>
      <c r="K1192" s="87">
        <v>7.4537039334857615</v>
      </c>
    </row>
    <row r="1193" spans="9:11" x14ac:dyDescent="0.25">
      <c r="I1193" s="86">
        <v>1192</v>
      </c>
      <c r="J1193" s="87">
        <v>-1.6754348026188222</v>
      </c>
      <c r="K1193" s="87">
        <v>5.5755853869443914</v>
      </c>
    </row>
    <row r="1194" spans="9:11" x14ac:dyDescent="0.25">
      <c r="I1194" s="86">
        <v>1193</v>
      </c>
      <c r="J1194" s="87">
        <v>-1.5857186809087782</v>
      </c>
      <c r="K1194" s="87">
        <v>5.1212263307036752</v>
      </c>
    </row>
    <row r="1195" spans="9:11" x14ac:dyDescent="0.25">
      <c r="I1195" s="86">
        <v>1194</v>
      </c>
      <c r="J1195" s="87">
        <v>1.3327198496271455</v>
      </c>
      <c r="K1195" s="87">
        <v>6.5438759760248413</v>
      </c>
    </row>
    <row r="1196" spans="9:11" x14ac:dyDescent="0.25">
      <c r="I1196" s="86">
        <v>1195</v>
      </c>
      <c r="J1196" s="87">
        <v>1.520541372581885</v>
      </c>
      <c r="K1196" s="87">
        <v>6.7520293364084356</v>
      </c>
    </row>
    <row r="1197" spans="9:11" x14ac:dyDescent="0.25">
      <c r="I1197" s="86">
        <v>1196</v>
      </c>
      <c r="J1197" s="87">
        <v>1.5065766517878916</v>
      </c>
      <c r="K1197" s="87">
        <v>5.8734977407579425</v>
      </c>
    </row>
    <row r="1198" spans="9:11" x14ac:dyDescent="0.25">
      <c r="I1198" s="86">
        <v>1197</v>
      </c>
      <c r="J1198" s="87">
        <v>1.5365570285046131</v>
      </c>
      <c r="K1198" s="87">
        <v>7.7406075733072326</v>
      </c>
    </row>
    <row r="1199" spans="9:11" x14ac:dyDescent="0.25">
      <c r="I1199" s="86">
        <v>1198</v>
      </c>
      <c r="J1199" s="87">
        <v>4.4341769253324124</v>
      </c>
      <c r="K1199" s="87">
        <v>6.3464760595976433</v>
      </c>
    </row>
    <row r="1200" spans="9:11" x14ac:dyDescent="0.25">
      <c r="I1200" s="86">
        <v>1199</v>
      </c>
      <c r="J1200" s="87">
        <v>6.883616876587066</v>
      </c>
      <c r="K1200" s="87">
        <v>10.888278822288051</v>
      </c>
    </row>
    <row r="1201" spans="9:11" x14ac:dyDescent="0.25">
      <c r="I1201" s="86">
        <v>1200</v>
      </c>
      <c r="J1201" s="87">
        <v>-1.5446367936216481</v>
      </c>
      <c r="K1201" s="87">
        <v>4.7135500148022054</v>
      </c>
    </row>
    <row r="1202" spans="9:11" x14ac:dyDescent="0.25">
      <c r="I1202" s="86">
        <v>1201</v>
      </c>
      <c r="J1202" s="87">
        <v>1.0138542948987124</v>
      </c>
      <c r="K1202" s="87">
        <v>4.5082157210234275</v>
      </c>
    </row>
    <row r="1203" spans="9:11" x14ac:dyDescent="0.25">
      <c r="I1203" s="86">
        <v>1202</v>
      </c>
      <c r="J1203" s="87">
        <v>0.27915676130975076</v>
      </c>
      <c r="K1203" s="87">
        <v>6.9674283241524408</v>
      </c>
    </row>
    <row r="1204" spans="9:11" x14ac:dyDescent="0.25">
      <c r="I1204" s="86">
        <v>1203</v>
      </c>
      <c r="J1204" s="87">
        <v>1.2656852245825116</v>
      </c>
      <c r="K1204" s="87">
        <v>5.3669781909564129</v>
      </c>
    </row>
    <row r="1205" spans="9:11" x14ac:dyDescent="0.25">
      <c r="I1205" s="86">
        <v>1204</v>
      </c>
      <c r="J1205" s="87">
        <v>-0.93812486041796816</v>
      </c>
      <c r="K1205" s="87">
        <v>5.6378143246713019</v>
      </c>
    </row>
    <row r="1206" spans="9:11" x14ac:dyDescent="0.25">
      <c r="I1206" s="86">
        <v>1205</v>
      </c>
      <c r="J1206" s="87">
        <v>0.52336388975304793</v>
      </c>
      <c r="K1206" s="87">
        <v>6.2854345317549507</v>
      </c>
    </row>
    <row r="1207" spans="9:11" x14ac:dyDescent="0.25">
      <c r="I1207" s="86">
        <v>1206</v>
      </c>
      <c r="J1207" s="87">
        <v>2.6293801986506944</v>
      </c>
      <c r="K1207" s="87">
        <v>8.978581587283875</v>
      </c>
    </row>
    <row r="1208" spans="9:11" x14ac:dyDescent="0.25">
      <c r="I1208" s="86">
        <v>1207</v>
      </c>
      <c r="J1208" s="87">
        <v>1.5081366844706352</v>
      </c>
      <c r="K1208" s="87">
        <v>6.5320362577069853</v>
      </c>
    </row>
    <row r="1209" spans="9:11" x14ac:dyDescent="0.25">
      <c r="I1209" s="86">
        <v>1208</v>
      </c>
      <c r="J1209" s="87">
        <v>4.0448060622703537</v>
      </c>
      <c r="K1209" s="87">
        <v>8.9055903971001769</v>
      </c>
    </row>
    <row r="1210" spans="9:11" x14ac:dyDescent="0.25">
      <c r="I1210" s="86">
        <v>1209</v>
      </c>
      <c r="J1210" s="87">
        <v>1.6229018357338436</v>
      </c>
      <c r="K1210" s="87">
        <v>8.3781600935854001</v>
      </c>
    </row>
    <row r="1211" spans="9:11" x14ac:dyDescent="0.25">
      <c r="I1211" s="86">
        <v>1210</v>
      </c>
      <c r="J1211" s="87">
        <v>1.5331202880195463</v>
      </c>
      <c r="K1211" s="87">
        <v>6.8933526074842533</v>
      </c>
    </row>
    <row r="1212" spans="9:11" x14ac:dyDescent="0.25">
      <c r="I1212" s="86">
        <v>1211</v>
      </c>
      <c r="J1212" s="87">
        <v>0.18578896536435607</v>
      </c>
      <c r="K1212" s="87">
        <v>5.4151329567173851</v>
      </c>
    </row>
    <row r="1213" spans="9:11" x14ac:dyDescent="0.25">
      <c r="I1213" s="86">
        <v>1212</v>
      </c>
      <c r="J1213" s="87">
        <v>6.5566461137638967</v>
      </c>
      <c r="K1213" s="87">
        <v>13.512215603742389</v>
      </c>
    </row>
    <row r="1214" spans="9:11" x14ac:dyDescent="0.25">
      <c r="I1214" s="86">
        <v>1213</v>
      </c>
      <c r="J1214" s="87">
        <v>2.0675991037199815</v>
      </c>
      <c r="K1214" s="87">
        <v>7.1584306203563521</v>
      </c>
    </row>
    <row r="1215" spans="9:11" x14ac:dyDescent="0.25">
      <c r="I1215" s="86">
        <v>1214</v>
      </c>
      <c r="J1215" s="87">
        <v>2.7615124030692639</v>
      </c>
      <c r="K1215" s="87">
        <v>8.614992864421648</v>
      </c>
    </row>
    <row r="1216" spans="9:11" x14ac:dyDescent="0.25">
      <c r="I1216" s="86">
        <v>1215</v>
      </c>
      <c r="J1216" s="87">
        <v>4.9842032397293208</v>
      </c>
      <c r="K1216" s="87">
        <v>9.1355851239073598</v>
      </c>
    </row>
    <row r="1217" spans="9:11" x14ac:dyDescent="0.25">
      <c r="I1217" s="86">
        <v>1216</v>
      </c>
      <c r="J1217" s="87">
        <v>-0.26908292455214422</v>
      </c>
      <c r="K1217" s="87">
        <v>6.1629883007775366</v>
      </c>
    </row>
    <row r="1218" spans="9:11" x14ac:dyDescent="0.25">
      <c r="I1218" s="86">
        <v>1217</v>
      </c>
      <c r="J1218" s="87">
        <v>-0.68037589170056467</v>
      </c>
      <c r="K1218" s="87">
        <v>6.2113041109564016</v>
      </c>
    </row>
    <row r="1219" spans="9:11" x14ac:dyDescent="0.25">
      <c r="I1219" s="86">
        <v>1218</v>
      </c>
      <c r="J1219" s="87">
        <v>0.1093957343522094</v>
      </c>
      <c r="K1219" s="87">
        <v>6.5276070200898078</v>
      </c>
    </row>
    <row r="1220" spans="9:11" x14ac:dyDescent="0.25">
      <c r="I1220" s="86">
        <v>1219</v>
      </c>
      <c r="J1220" s="87">
        <v>1.9098887776117035</v>
      </c>
      <c r="K1220" s="87">
        <v>7.2612565299595495</v>
      </c>
    </row>
    <row r="1221" spans="9:11" x14ac:dyDescent="0.25">
      <c r="I1221" s="86">
        <v>1220</v>
      </c>
      <c r="J1221" s="87">
        <v>2.8084031410545309</v>
      </c>
      <c r="K1221" s="87">
        <v>8.946511790087861</v>
      </c>
    </row>
    <row r="1222" spans="9:11" x14ac:dyDescent="0.25">
      <c r="I1222" s="86">
        <v>1221</v>
      </c>
      <c r="J1222" s="87">
        <v>2.6861835628985133</v>
      </c>
      <c r="K1222" s="87">
        <v>7.454231244631992</v>
      </c>
    </row>
    <row r="1223" spans="9:11" x14ac:dyDescent="0.25">
      <c r="I1223" s="86">
        <v>1222</v>
      </c>
      <c r="J1223" s="87">
        <v>2.5825775928000461</v>
      </c>
      <c r="K1223" s="87">
        <v>8.5454653125353417</v>
      </c>
    </row>
    <row r="1224" spans="9:11" x14ac:dyDescent="0.25">
      <c r="I1224" s="86">
        <v>1223</v>
      </c>
      <c r="J1224" s="87">
        <v>1.5069987164380914</v>
      </c>
      <c r="K1224" s="87">
        <v>6.3884689857934633</v>
      </c>
    </row>
    <row r="1225" spans="9:11" x14ac:dyDescent="0.25">
      <c r="I1225" s="86">
        <v>1224</v>
      </c>
      <c r="J1225" s="87">
        <v>0.23153002036240533</v>
      </c>
      <c r="K1225" s="87">
        <v>5.3200902351825405</v>
      </c>
    </row>
    <row r="1226" spans="9:11" x14ac:dyDescent="0.25">
      <c r="I1226" s="86">
        <v>1225</v>
      </c>
      <c r="J1226" s="87">
        <v>1.4169212812219194</v>
      </c>
      <c r="K1226" s="87">
        <v>6.1255924835829871</v>
      </c>
    </row>
    <row r="1227" spans="9:11" x14ac:dyDescent="0.25">
      <c r="I1227" s="86">
        <v>1226</v>
      </c>
      <c r="J1227" s="87">
        <v>1.6732128901219605</v>
      </c>
      <c r="K1227" s="87">
        <v>6.3774722016444443</v>
      </c>
    </row>
    <row r="1228" spans="9:11" x14ac:dyDescent="0.25">
      <c r="I1228" s="86">
        <v>1227</v>
      </c>
      <c r="J1228" s="87">
        <v>1.2118195675647474</v>
      </c>
      <c r="K1228" s="87">
        <v>4.4573229593883976</v>
      </c>
    </row>
    <row r="1229" spans="9:11" x14ac:dyDescent="0.25">
      <c r="I1229" s="86">
        <v>1228</v>
      </c>
      <c r="J1229" s="87">
        <v>2.1917234972914974</v>
      </c>
      <c r="K1229" s="87">
        <v>5.687595573654237</v>
      </c>
    </row>
    <row r="1230" spans="9:11" x14ac:dyDescent="0.25">
      <c r="I1230" s="86">
        <v>1229</v>
      </c>
      <c r="J1230" s="87">
        <v>0.74774992118858652</v>
      </c>
      <c r="K1230" s="87">
        <v>6.1658760471872123</v>
      </c>
    </row>
    <row r="1231" spans="9:11" x14ac:dyDescent="0.25">
      <c r="I1231" s="86">
        <v>1230</v>
      </c>
      <c r="J1231" s="87">
        <v>0.12101966699091271</v>
      </c>
      <c r="K1231" s="87">
        <v>8.6048367918983999</v>
      </c>
    </row>
    <row r="1232" spans="9:11" x14ac:dyDescent="0.25">
      <c r="I1232" s="86">
        <v>1231</v>
      </c>
      <c r="J1232" s="87">
        <v>-0.84282576505288453</v>
      </c>
      <c r="K1232" s="87">
        <v>6.2997285911790097</v>
      </c>
    </row>
    <row r="1233" spans="9:11" x14ac:dyDescent="0.25">
      <c r="I1233" s="86">
        <v>1232</v>
      </c>
      <c r="J1233" s="87">
        <v>2.2332539317392834</v>
      </c>
      <c r="K1233" s="87">
        <v>6.1823442317100303</v>
      </c>
    </row>
    <row r="1234" spans="9:11" x14ac:dyDescent="0.25">
      <c r="I1234" s="86">
        <v>1233</v>
      </c>
      <c r="J1234" s="87">
        <v>4.9022378347594273</v>
      </c>
      <c r="K1234" s="87">
        <v>7.7840517992837057</v>
      </c>
    </row>
    <row r="1235" spans="9:11" x14ac:dyDescent="0.25">
      <c r="I1235" s="86">
        <v>1234</v>
      </c>
      <c r="J1235" s="87">
        <v>1.9094634877672796</v>
      </c>
      <c r="K1235" s="87">
        <v>8.5860097507294242</v>
      </c>
    </row>
    <row r="1236" spans="9:11" x14ac:dyDescent="0.25">
      <c r="I1236" s="86">
        <v>1235</v>
      </c>
      <c r="J1236" s="87">
        <v>10.348310726007355</v>
      </c>
      <c r="K1236" s="87">
        <v>11.841728446425751</v>
      </c>
    </row>
    <row r="1237" spans="9:11" x14ac:dyDescent="0.25">
      <c r="I1237" s="86">
        <v>1236</v>
      </c>
      <c r="J1237" s="87">
        <v>1.9512563129352074</v>
      </c>
      <c r="K1237" s="87">
        <v>6.4976489302762275</v>
      </c>
    </row>
    <row r="1238" spans="9:11" x14ac:dyDescent="0.25">
      <c r="I1238" s="86">
        <v>1237</v>
      </c>
      <c r="J1238" s="87">
        <v>2.2072857592891433</v>
      </c>
      <c r="K1238" s="87">
        <v>7.7919337760112501</v>
      </c>
    </row>
    <row r="1239" spans="9:11" x14ac:dyDescent="0.25">
      <c r="I1239" s="86">
        <v>1238</v>
      </c>
      <c r="J1239" s="87">
        <v>1.3299745978178508</v>
      </c>
      <c r="K1239" s="87">
        <v>6.1901083589714698</v>
      </c>
    </row>
    <row r="1240" spans="9:11" x14ac:dyDescent="0.25">
      <c r="I1240" s="86">
        <v>1239</v>
      </c>
      <c r="J1240" s="87">
        <v>2.0692050062731431</v>
      </c>
      <c r="K1240" s="87">
        <v>8.2451400798500671</v>
      </c>
    </row>
    <row r="1241" spans="9:11" x14ac:dyDescent="0.25">
      <c r="I1241" s="86">
        <v>1240</v>
      </c>
      <c r="J1241" s="87">
        <v>11.493732286433897</v>
      </c>
      <c r="K1241" s="87">
        <v>15.057349252613898</v>
      </c>
    </row>
    <row r="1242" spans="9:11" x14ac:dyDescent="0.25">
      <c r="I1242" s="86">
        <v>1241</v>
      </c>
      <c r="J1242" s="87">
        <v>1.6947151402037584</v>
      </c>
      <c r="K1242" s="87">
        <v>6.4922966257672154</v>
      </c>
    </row>
    <row r="1243" spans="9:11" x14ac:dyDescent="0.25">
      <c r="I1243" s="86">
        <v>1242</v>
      </c>
      <c r="J1243" s="87">
        <v>1.8031047166471241</v>
      </c>
      <c r="K1243" s="87">
        <v>8.7814985158447421</v>
      </c>
    </row>
    <row r="1244" spans="9:11" x14ac:dyDescent="0.25">
      <c r="I1244" s="86">
        <v>1243</v>
      </c>
      <c r="J1244" s="87">
        <v>1.0144685161600755</v>
      </c>
      <c r="K1244" s="87">
        <v>7.1946481671082436</v>
      </c>
    </row>
    <row r="1245" spans="9:11" x14ac:dyDescent="0.25">
      <c r="I1245" s="86">
        <v>1244</v>
      </c>
      <c r="J1245" s="87">
        <v>0.20220694391511174</v>
      </c>
      <c r="K1245" s="87">
        <v>6.2744379808214346</v>
      </c>
    </row>
    <row r="1246" spans="9:11" x14ac:dyDescent="0.25">
      <c r="I1246" s="86">
        <v>1245</v>
      </c>
      <c r="J1246" s="87">
        <v>0.79489623626292527</v>
      </c>
      <c r="K1246" s="87">
        <v>6.9724138712891781</v>
      </c>
    </row>
    <row r="1247" spans="9:11" x14ac:dyDescent="0.25">
      <c r="I1247" s="86">
        <v>1246</v>
      </c>
      <c r="J1247" s="87">
        <v>0.41100526234766033</v>
      </c>
      <c r="K1247" s="87">
        <v>6.8794779999909794</v>
      </c>
    </row>
    <row r="1248" spans="9:11" x14ac:dyDescent="0.25">
      <c r="I1248" s="86">
        <v>1247</v>
      </c>
      <c r="J1248" s="87">
        <v>2.7878535528809714</v>
      </c>
      <c r="K1248" s="87">
        <v>7.2144934853237439</v>
      </c>
    </row>
    <row r="1249" spans="9:11" x14ac:dyDescent="0.25">
      <c r="I1249" s="86">
        <v>1248</v>
      </c>
      <c r="J1249" s="87">
        <v>2.5310695716335738</v>
      </c>
      <c r="K1249" s="87">
        <v>8.7632767503265114</v>
      </c>
    </row>
    <row r="1250" spans="9:11" x14ac:dyDescent="0.25">
      <c r="I1250" s="86">
        <v>1249</v>
      </c>
      <c r="J1250" s="87">
        <v>1.614010213824006</v>
      </c>
      <c r="K1250" s="87">
        <v>6.1706571344970724</v>
      </c>
    </row>
    <row r="1251" spans="9:11" x14ac:dyDescent="0.25">
      <c r="I1251" s="86">
        <v>1250</v>
      </c>
      <c r="J1251" s="87">
        <v>-0.33817286827048765</v>
      </c>
      <c r="K1251" s="87">
        <v>6.3036038886704642</v>
      </c>
    </row>
    <row r="1252" spans="9:11" x14ac:dyDescent="0.25">
      <c r="I1252" s="86">
        <v>1251</v>
      </c>
      <c r="J1252" s="87">
        <v>0.91032182925446659</v>
      </c>
      <c r="K1252" s="87">
        <v>5.6187384807050593</v>
      </c>
    </row>
    <row r="1253" spans="9:11" x14ac:dyDescent="0.25">
      <c r="I1253" s="86">
        <v>1252</v>
      </c>
      <c r="J1253" s="87">
        <v>4.0282055679784374</v>
      </c>
      <c r="K1253" s="87">
        <v>7.702845131714918</v>
      </c>
    </row>
    <row r="1254" spans="9:11" x14ac:dyDescent="0.25">
      <c r="I1254" s="86">
        <v>1253</v>
      </c>
      <c r="J1254" s="87">
        <v>-0.70328197451292462</v>
      </c>
      <c r="K1254" s="87">
        <v>4.482654656723029</v>
      </c>
    </row>
    <row r="1255" spans="9:11" x14ac:dyDescent="0.25">
      <c r="I1255" s="86">
        <v>1254</v>
      </c>
      <c r="J1255" s="87">
        <v>2.5390921251793124</v>
      </c>
      <c r="K1255" s="87">
        <v>8.9474374679273865</v>
      </c>
    </row>
    <row r="1256" spans="9:11" x14ac:dyDescent="0.25">
      <c r="I1256" s="86">
        <v>1255</v>
      </c>
      <c r="J1256" s="87">
        <v>0.2345336870428989</v>
      </c>
      <c r="K1256" s="87">
        <v>6.7331187272172661</v>
      </c>
    </row>
    <row r="1257" spans="9:11" x14ac:dyDescent="0.25">
      <c r="I1257" s="86">
        <v>1256</v>
      </c>
      <c r="J1257" s="87">
        <v>6.2328229018836723E-2</v>
      </c>
      <c r="K1257" s="87">
        <v>5.8368874550113583</v>
      </c>
    </row>
    <row r="1258" spans="9:11" x14ac:dyDescent="0.25">
      <c r="I1258" s="86">
        <v>1257</v>
      </c>
      <c r="J1258" s="87">
        <v>-0.37705404187408931</v>
      </c>
      <c r="K1258" s="87">
        <v>6.0438627752740022</v>
      </c>
    </row>
    <row r="1259" spans="9:11" x14ac:dyDescent="0.25">
      <c r="I1259" s="86">
        <v>1258</v>
      </c>
      <c r="J1259" s="87">
        <v>2.0563508560561523</v>
      </c>
      <c r="K1259" s="87">
        <v>6.5780766131995581</v>
      </c>
    </row>
    <row r="1260" spans="9:11" x14ac:dyDescent="0.25">
      <c r="I1260" s="86">
        <v>1259</v>
      </c>
      <c r="J1260" s="87">
        <v>2.3165394781386817</v>
      </c>
      <c r="K1260" s="87">
        <v>5.3877992260017962</v>
      </c>
    </row>
    <row r="1261" spans="9:11" x14ac:dyDescent="0.25">
      <c r="I1261" s="86">
        <v>1260</v>
      </c>
      <c r="J1261" s="87">
        <v>-1.3562233120447464</v>
      </c>
      <c r="K1261" s="87">
        <v>5.1653205650075042</v>
      </c>
    </row>
    <row r="1262" spans="9:11" x14ac:dyDescent="0.25">
      <c r="I1262" s="86">
        <v>1261</v>
      </c>
      <c r="J1262" s="87">
        <v>1.4817013857016681</v>
      </c>
      <c r="K1262" s="87">
        <v>6.8681147652778423</v>
      </c>
    </row>
    <row r="1263" spans="9:11" x14ac:dyDescent="0.25">
      <c r="I1263" s="86">
        <v>1262</v>
      </c>
      <c r="J1263" s="87">
        <v>1.2989425620373911</v>
      </c>
      <c r="K1263" s="87">
        <v>6.3836247456178343</v>
      </c>
    </row>
    <row r="1264" spans="9:11" x14ac:dyDescent="0.25">
      <c r="I1264" s="86">
        <v>1263</v>
      </c>
      <c r="J1264" s="87">
        <v>0.73805172301470368</v>
      </c>
      <c r="K1264" s="87">
        <v>6.4702169652162596</v>
      </c>
    </row>
    <row r="1265" spans="9:11" x14ac:dyDescent="0.25">
      <c r="I1265" s="86">
        <v>1264</v>
      </c>
      <c r="J1265" s="87">
        <v>-1.0531725016492759</v>
      </c>
      <c r="K1265" s="87">
        <v>5.3271415867145331</v>
      </c>
    </row>
    <row r="1266" spans="9:11" x14ac:dyDescent="0.25">
      <c r="I1266" s="86">
        <v>1265</v>
      </c>
      <c r="J1266" s="87">
        <v>2.6556830726990546</v>
      </c>
      <c r="K1266" s="87">
        <v>8.5719223754060501</v>
      </c>
    </row>
    <row r="1267" spans="9:11" x14ac:dyDescent="0.25">
      <c r="I1267" s="86">
        <v>1266</v>
      </c>
      <c r="J1267" s="87">
        <v>0.24640824439236919</v>
      </c>
      <c r="K1267" s="87">
        <v>6.7322284207933754</v>
      </c>
    </row>
    <row r="1268" spans="9:11" x14ac:dyDescent="0.25">
      <c r="I1268" s="86">
        <v>1267</v>
      </c>
      <c r="J1268" s="87">
        <v>-1.5542440807240352</v>
      </c>
      <c r="K1268" s="87">
        <v>5.5254905527818003</v>
      </c>
    </row>
    <row r="1269" spans="9:11" x14ac:dyDescent="0.25">
      <c r="I1269" s="86">
        <v>1268</v>
      </c>
      <c r="J1269" s="87">
        <v>0.70631220980228449</v>
      </c>
      <c r="K1269" s="87">
        <v>5.2731426773118768</v>
      </c>
    </row>
    <row r="1270" spans="9:11" x14ac:dyDescent="0.25">
      <c r="I1270" s="86">
        <v>1269</v>
      </c>
      <c r="J1270" s="87">
        <v>1.1567213281815278</v>
      </c>
      <c r="K1270" s="87">
        <v>5.7836691540645573</v>
      </c>
    </row>
    <row r="1271" spans="9:11" x14ac:dyDescent="0.25">
      <c r="I1271" s="86">
        <v>1270</v>
      </c>
      <c r="J1271" s="87">
        <v>3.9920517140048144</v>
      </c>
      <c r="K1271" s="87">
        <v>8.2005811599039333</v>
      </c>
    </row>
    <row r="1272" spans="9:11" x14ac:dyDescent="0.25">
      <c r="I1272" s="86">
        <v>1271</v>
      </c>
      <c r="J1272" s="87">
        <v>1.9460604259015239</v>
      </c>
      <c r="K1272" s="87">
        <v>6.7376963998954587</v>
      </c>
    </row>
    <row r="1273" spans="9:11" x14ac:dyDescent="0.25">
      <c r="I1273" s="86">
        <v>1272</v>
      </c>
      <c r="J1273" s="87">
        <v>0.70460156219597536</v>
      </c>
      <c r="K1273" s="87">
        <v>6.9610976001017715</v>
      </c>
    </row>
    <row r="1274" spans="9:11" x14ac:dyDescent="0.25">
      <c r="I1274" s="86">
        <v>1273</v>
      </c>
      <c r="J1274" s="87">
        <v>-0.33330611540377175</v>
      </c>
      <c r="K1274" s="87">
        <v>4.3289735073549336</v>
      </c>
    </row>
    <row r="1275" spans="9:11" x14ac:dyDescent="0.25">
      <c r="I1275" s="86">
        <v>1274</v>
      </c>
      <c r="J1275" s="87">
        <v>-0.38177517953421791</v>
      </c>
      <c r="K1275" s="87">
        <v>5.6715057645703517</v>
      </c>
    </row>
    <row r="1276" spans="9:11" x14ac:dyDescent="0.25">
      <c r="I1276" s="86">
        <v>1275</v>
      </c>
      <c r="J1276" s="87">
        <v>1.1164312972467885</v>
      </c>
      <c r="K1276" s="87">
        <v>7.6924319228752314</v>
      </c>
    </row>
    <row r="1277" spans="9:11" x14ac:dyDescent="0.25">
      <c r="I1277" s="86">
        <v>1276</v>
      </c>
      <c r="J1277" s="87">
        <v>0.75643558842389158</v>
      </c>
      <c r="K1277" s="87">
        <v>6.6950796860830701</v>
      </c>
    </row>
    <row r="1278" spans="9:11" x14ac:dyDescent="0.25">
      <c r="I1278" s="86">
        <v>1277</v>
      </c>
      <c r="J1278" s="87">
        <v>0.88781856222777122</v>
      </c>
      <c r="K1278" s="87">
        <v>7.4894927150872936</v>
      </c>
    </row>
    <row r="1279" spans="9:11" x14ac:dyDescent="0.25">
      <c r="I1279" s="86">
        <v>1278</v>
      </c>
      <c r="J1279" s="87">
        <v>4.7202014804539782</v>
      </c>
      <c r="K1279" s="87">
        <v>9.8198149788158844</v>
      </c>
    </row>
    <row r="1280" spans="9:11" x14ac:dyDescent="0.25">
      <c r="I1280" s="86">
        <v>1279</v>
      </c>
      <c r="J1280" s="87">
        <v>2.6123542767522885</v>
      </c>
      <c r="K1280" s="87">
        <v>7.6406977195584966</v>
      </c>
    </row>
    <row r="1281" spans="9:11" x14ac:dyDescent="0.25">
      <c r="I1281" s="86">
        <v>1280</v>
      </c>
      <c r="J1281" s="87">
        <v>4.8793010718408283</v>
      </c>
      <c r="K1281" s="87">
        <v>9.5009879239049742</v>
      </c>
    </row>
    <row r="1282" spans="9:11" x14ac:dyDescent="0.25">
      <c r="I1282" s="86">
        <v>1281</v>
      </c>
      <c r="J1282" s="87">
        <v>0.22626555407045501</v>
      </c>
      <c r="K1282" s="87">
        <v>5.7078875043703334</v>
      </c>
    </row>
    <row r="1283" spans="9:11" x14ac:dyDescent="0.25">
      <c r="I1283" s="86">
        <v>1282</v>
      </c>
      <c r="J1283" s="87">
        <v>1.6221784398935677</v>
      </c>
      <c r="K1283" s="87">
        <v>6.4691625833739872</v>
      </c>
    </row>
    <row r="1284" spans="9:11" x14ac:dyDescent="0.25">
      <c r="I1284" s="86">
        <v>1283</v>
      </c>
      <c r="J1284" s="87">
        <v>1.8520732664028206</v>
      </c>
      <c r="K1284" s="87">
        <v>7.9746286126612507</v>
      </c>
    </row>
    <row r="1285" spans="9:11" x14ac:dyDescent="0.25">
      <c r="I1285" s="86">
        <v>1284</v>
      </c>
      <c r="J1285" s="87">
        <v>1.0690977029597404</v>
      </c>
      <c r="K1285" s="87">
        <v>6.8040767028382421</v>
      </c>
    </row>
    <row r="1286" spans="9:11" x14ac:dyDescent="0.25">
      <c r="I1286" s="86">
        <v>1285</v>
      </c>
      <c r="J1286" s="87">
        <v>4.9037327141035032</v>
      </c>
      <c r="K1286" s="87">
        <v>8.2014847416888266</v>
      </c>
    </row>
    <row r="1287" spans="9:11" x14ac:dyDescent="0.25">
      <c r="I1287" s="86">
        <v>1286</v>
      </c>
      <c r="J1287" s="87">
        <v>9.6208891427996157E-2</v>
      </c>
      <c r="K1287" s="87">
        <v>4.5686296948017091</v>
      </c>
    </row>
    <row r="1288" spans="9:11" x14ac:dyDescent="0.25">
      <c r="I1288" s="86">
        <v>1287</v>
      </c>
      <c r="J1288" s="87">
        <v>4.3589653494143761</v>
      </c>
      <c r="K1288" s="87">
        <v>7.6346166583049921</v>
      </c>
    </row>
    <row r="1289" spans="9:11" x14ac:dyDescent="0.25">
      <c r="I1289" s="86">
        <v>1288</v>
      </c>
      <c r="J1289" s="87">
        <v>0.83934490645935256</v>
      </c>
      <c r="K1289" s="87">
        <v>6.0710429451268002</v>
      </c>
    </row>
    <row r="1290" spans="9:11" x14ac:dyDescent="0.25">
      <c r="I1290" s="86">
        <v>1289</v>
      </c>
      <c r="J1290" s="87">
        <v>4.5724960455789763</v>
      </c>
      <c r="K1290" s="87">
        <v>7.1748957756443641</v>
      </c>
    </row>
    <row r="1291" spans="9:11" x14ac:dyDescent="0.25">
      <c r="I1291" s="86">
        <v>1290</v>
      </c>
      <c r="J1291" s="87">
        <v>3.501907702792086</v>
      </c>
      <c r="K1291" s="87">
        <v>5.8201662049297589</v>
      </c>
    </row>
    <row r="1292" spans="9:11" x14ac:dyDescent="0.25">
      <c r="I1292" s="86">
        <v>1291</v>
      </c>
      <c r="J1292" s="87">
        <v>2.5835854858681824</v>
      </c>
      <c r="K1292" s="87">
        <v>9.8954168100733497</v>
      </c>
    </row>
    <row r="1293" spans="9:11" x14ac:dyDescent="0.25">
      <c r="I1293" s="86">
        <v>1292</v>
      </c>
      <c r="J1293" s="87">
        <v>0.91433242344487287</v>
      </c>
      <c r="K1293" s="87">
        <v>6.1575718731866234</v>
      </c>
    </row>
    <row r="1294" spans="9:11" x14ac:dyDescent="0.25">
      <c r="I1294" s="86">
        <v>1293</v>
      </c>
      <c r="J1294" s="87">
        <v>0.70869715561438307</v>
      </c>
      <c r="K1294" s="87">
        <v>5.2742020265041116</v>
      </c>
    </row>
    <row r="1295" spans="9:11" x14ac:dyDescent="0.25">
      <c r="I1295" s="86">
        <v>1294</v>
      </c>
      <c r="J1295" s="87">
        <v>2.2011881347729929</v>
      </c>
      <c r="K1295" s="87">
        <v>6.7103237566438194</v>
      </c>
    </row>
    <row r="1296" spans="9:11" x14ac:dyDescent="0.25">
      <c r="I1296" s="86">
        <v>1295</v>
      </c>
      <c r="J1296" s="87">
        <v>0.38940285550714737</v>
      </c>
      <c r="K1296" s="87">
        <v>6.5226551814420546</v>
      </c>
    </row>
    <row r="1297" spans="9:11" x14ac:dyDescent="0.25">
      <c r="I1297" s="86">
        <v>1296</v>
      </c>
      <c r="J1297" s="87">
        <v>2.1894644607959428</v>
      </c>
      <c r="K1297" s="87">
        <v>6.0971603613669636</v>
      </c>
    </row>
    <row r="1298" spans="9:11" x14ac:dyDescent="0.25">
      <c r="I1298" s="86">
        <v>1297</v>
      </c>
      <c r="J1298" s="87">
        <v>0.13106197597020408</v>
      </c>
      <c r="K1298" s="87">
        <v>7.442164434353244</v>
      </c>
    </row>
    <row r="1299" spans="9:11" x14ac:dyDescent="0.25">
      <c r="I1299" s="86">
        <v>1298</v>
      </c>
      <c r="J1299" s="87">
        <v>3.2286342305914575</v>
      </c>
      <c r="K1299" s="87">
        <v>9.7624096196247354</v>
      </c>
    </row>
    <row r="1300" spans="9:11" x14ac:dyDescent="0.25">
      <c r="I1300" s="86">
        <v>1299</v>
      </c>
      <c r="J1300" s="87">
        <v>1.5764479980340065</v>
      </c>
      <c r="K1300" s="87">
        <v>6.418786821571616</v>
      </c>
    </row>
    <row r="1301" spans="9:11" x14ac:dyDescent="0.25">
      <c r="I1301" s="86">
        <v>1300</v>
      </c>
      <c r="J1301" s="87">
        <v>1.8193287281580659</v>
      </c>
      <c r="K1301" s="87">
        <v>6.7099889682100136</v>
      </c>
    </row>
    <row r="1302" spans="9:11" x14ac:dyDescent="0.25">
      <c r="I1302" s="86">
        <v>1301</v>
      </c>
      <c r="J1302" s="87">
        <v>1.2684050330808332</v>
      </c>
      <c r="K1302" s="87">
        <v>5.7609399317081049</v>
      </c>
    </row>
    <row r="1303" spans="9:11" x14ac:dyDescent="0.25">
      <c r="I1303" s="86">
        <v>1302</v>
      </c>
      <c r="J1303" s="87">
        <v>-0.87315645300460254</v>
      </c>
      <c r="K1303" s="87">
        <v>6.3550986817747335</v>
      </c>
    </row>
    <row r="1304" spans="9:11" x14ac:dyDescent="0.25">
      <c r="I1304" s="86">
        <v>1303</v>
      </c>
      <c r="J1304" s="87">
        <v>4.1962691496867723</v>
      </c>
      <c r="K1304" s="87">
        <v>9.1149209933519568</v>
      </c>
    </row>
    <row r="1305" spans="9:11" x14ac:dyDescent="0.25">
      <c r="I1305" s="86">
        <v>1304</v>
      </c>
      <c r="J1305" s="87">
        <v>1.2733212653713024</v>
      </c>
      <c r="K1305" s="87">
        <v>5.7525710537406027</v>
      </c>
    </row>
    <row r="1306" spans="9:11" x14ac:dyDescent="0.25">
      <c r="I1306" s="86">
        <v>1305</v>
      </c>
      <c r="J1306" s="87">
        <v>3.7830313673809215</v>
      </c>
      <c r="K1306" s="87">
        <v>8.5580433492393606</v>
      </c>
    </row>
    <row r="1307" spans="9:11" x14ac:dyDescent="0.25">
      <c r="I1307" s="86">
        <v>1306</v>
      </c>
      <c r="J1307" s="87">
        <v>8.2168041425849339</v>
      </c>
      <c r="K1307" s="87">
        <v>11.869343696395585</v>
      </c>
    </row>
    <row r="1308" spans="9:11" x14ac:dyDescent="0.25">
      <c r="I1308" s="86">
        <v>1307</v>
      </c>
      <c r="J1308" s="87">
        <v>3.8885376665310689</v>
      </c>
      <c r="K1308" s="87">
        <v>8.1137058995899913</v>
      </c>
    </row>
    <row r="1309" spans="9:11" x14ac:dyDescent="0.25">
      <c r="I1309" s="86">
        <v>1308</v>
      </c>
      <c r="J1309" s="87">
        <v>2.0853671409899555</v>
      </c>
      <c r="K1309" s="87">
        <v>6.1068354470116804</v>
      </c>
    </row>
    <row r="1310" spans="9:11" x14ac:dyDescent="0.25">
      <c r="I1310" s="86">
        <v>1309</v>
      </c>
      <c r="J1310" s="87">
        <v>1.2301222964356682</v>
      </c>
      <c r="K1310" s="87">
        <v>4.8167384367940773</v>
      </c>
    </row>
    <row r="1311" spans="9:11" x14ac:dyDescent="0.25">
      <c r="I1311" s="86">
        <v>1310</v>
      </c>
      <c r="J1311" s="87">
        <v>1.0971043447916253</v>
      </c>
      <c r="K1311" s="87">
        <v>5.165575971723066</v>
      </c>
    </row>
    <row r="1312" spans="9:11" x14ac:dyDescent="0.25">
      <c r="I1312" s="86">
        <v>1311</v>
      </c>
      <c r="J1312" s="87">
        <v>7.2963839517191058</v>
      </c>
      <c r="K1312" s="87">
        <v>9.1027551145740677</v>
      </c>
    </row>
    <row r="1313" spans="9:11" x14ac:dyDescent="0.25">
      <c r="I1313" s="86">
        <v>1312</v>
      </c>
      <c r="J1313" s="87">
        <v>-0.29877810530219406</v>
      </c>
      <c r="K1313" s="87">
        <v>5.2850981212206891</v>
      </c>
    </row>
    <row r="1314" spans="9:11" x14ac:dyDescent="0.25">
      <c r="I1314" s="86">
        <v>1313</v>
      </c>
      <c r="J1314" s="87">
        <v>7.2999605046756741</v>
      </c>
      <c r="K1314" s="87">
        <v>11.646707255445225</v>
      </c>
    </row>
    <row r="1315" spans="9:11" x14ac:dyDescent="0.25">
      <c r="I1315" s="86">
        <v>1314</v>
      </c>
      <c r="J1315" s="87">
        <v>0.75440434508980481</v>
      </c>
      <c r="K1315" s="87">
        <v>5.8429165664043046</v>
      </c>
    </row>
    <row r="1316" spans="9:11" x14ac:dyDescent="0.25">
      <c r="I1316" s="86">
        <v>1315</v>
      </c>
      <c r="J1316" s="87">
        <v>0.82213828964747471</v>
      </c>
      <c r="K1316" s="87">
        <v>5.0614557797215847</v>
      </c>
    </row>
    <row r="1317" spans="9:11" x14ac:dyDescent="0.25">
      <c r="I1317" s="86">
        <v>1316</v>
      </c>
      <c r="J1317" s="87">
        <v>2.6252562634215018</v>
      </c>
      <c r="K1317" s="87">
        <v>6.1909729834495639</v>
      </c>
    </row>
    <row r="1318" spans="9:11" x14ac:dyDescent="0.25">
      <c r="I1318" s="86">
        <v>1317</v>
      </c>
      <c r="J1318" s="87">
        <v>1.4412721645197548</v>
      </c>
      <c r="K1318" s="87">
        <v>7.1786595583555144</v>
      </c>
    </row>
    <row r="1319" spans="9:11" x14ac:dyDescent="0.25">
      <c r="I1319" s="86">
        <v>1318</v>
      </c>
      <c r="J1319" s="87">
        <v>-0.73455473253854731</v>
      </c>
      <c r="K1319" s="87">
        <v>6.1381973112767563</v>
      </c>
    </row>
    <row r="1320" spans="9:11" x14ac:dyDescent="0.25">
      <c r="I1320" s="86">
        <v>1319</v>
      </c>
      <c r="J1320" s="87">
        <v>3.5696510284470282</v>
      </c>
      <c r="K1320" s="87">
        <v>8.3021496673230413</v>
      </c>
    </row>
    <row r="1321" spans="9:11" x14ac:dyDescent="0.25">
      <c r="I1321" s="86">
        <v>1320</v>
      </c>
      <c r="J1321" s="87">
        <v>2.0703030142999479</v>
      </c>
      <c r="K1321" s="87">
        <v>6.0012200687728061</v>
      </c>
    </row>
    <row r="1322" spans="9:11" x14ac:dyDescent="0.25">
      <c r="I1322" s="86">
        <v>1321</v>
      </c>
      <c r="J1322" s="87">
        <v>0.40580172365406675</v>
      </c>
      <c r="K1322" s="87">
        <v>6.7148483149157583</v>
      </c>
    </row>
    <row r="1323" spans="9:11" x14ac:dyDescent="0.25">
      <c r="I1323" s="86">
        <v>1322</v>
      </c>
      <c r="J1323" s="87">
        <v>0.573375307015624</v>
      </c>
      <c r="K1323" s="87">
        <v>6.7732139959722666</v>
      </c>
    </row>
    <row r="1324" spans="9:11" x14ac:dyDescent="0.25">
      <c r="I1324" s="86">
        <v>1323</v>
      </c>
      <c r="J1324" s="87">
        <v>-1.4890185087083188</v>
      </c>
      <c r="K1324" s="87">
        <v>3.97258615784299</v>
      </c>
    </row>
    <row r="1325" spans="9:11" x14ac:dyDescent="0.25">
      <c r="I1325" s="86">
        <v>1324</v>
      </c>
      <c r="J1325" s="87">
        <v>1.1973613642893204</v>
      </c>
      <c r="K1325" s="87">
        <v>10.179571072002837</v>
      </c>
    </row>
    <row r="1326" spans="9:11" x14ac:dyDescent="0.25">
      <c r="I1326" s="86">
        <v>1325</v>
      </c>
      <c r="J1326" s="87">
        <v>2.6331573227431502</v>
      </c>
      <c r="K1326" s="87">
        <v>10.108554555726393</v>
      </c>
    </row>
    <row r="1327" spans="9:11" x14ac:dyDescent="0.25">
      <c r="I1327" s="86">
        <v>1326</v>
      </c>
      <c r="J1327" s="87">
        <v>1.9245537926461802</v>
      </c>
      <c r="K1327" s="87">
        <v>5.9435409633656677</v>
      </c>
    </row>
    <row r="1328" spans="9:11" x14ac:dyDescent="0.25">
      <c r="I1328" s="86">
        <v>1327</v>
      </c>
      <c r="J1328" s="87">
        <v>2.0773254298302559</v>
      </c>
      <c r="K1328" s="87">
        <v>7.424081548976206</v>
      </c>
    </row>
    <row r="1329" spans="9:11" x14ac:dyDescent="0.25">
      <c r="I1329" s="86">
        <v>1328</v>
      </c>
      <c r="J1329" s="87">
        <v>2.095726646422186</v>
      </c>
      <c r="K1329" s="87">
        <v>6.7468528245058703</v>
      </c>
    </row>
    <row r="1330" spans="9:11" x14ac:dyDescent="0.25">
      <c r="I1330" s="86">
        <v>1329</v>
      </c>
      <c r="J1330" s="87">
        <v>1.3757274343509476</v>
      </c>
      <c r="K1330" s="87">
        <v>6.7816481780063755</v>
      </c>
    </row>
    <row r="1331" spans="9:11" x14ac:dyDescent="0.25">
      <c r="I1331" s="86">
        <v>1330</v>
      </c>
      <c r="J1331" s="87">
        <v>-6.1625686306152616E-2</v>
      </c>
      <c r="K1331" s="87">
        <v>7.7783455570774791</v>
      </c>
    </row>
    <row r="1332" spans="9:11" x14ac:dyDescent="0.25">
      <c r="I1332" s="86">
        <v>1331</v>
      </c>
      <c r="J1332" s="87">
        <v>0.67222866662200831</v>
      </c>
      <c r="K1332" s="87">
        <v>5.6365400616787067</v>
      </c>
    </row>
    <row r="1333" spans="9:11" x14ac:dyDescent="0.25">
      <c r="I1333" s="86">
        <v>1332</v>
      </c>
      <c r="J1333" s="87">
        <v>0.31256732343338456</v>
      </c>
      <c r="K1333" s="87">
        <v>5.801938537522612</v>
      </c>
    </row>
    <row r="1334" spans="9:11" x14ac:dyDescent="0.25">
      <c r="I1334" s="86">
        <v>1333</v>
      </c>
      <c r="J1334" s="87">
        <v>6.4280817236910561</v>
      </c>
      <c r="K1334" s="87">
        <v>9.7914595306598216</v>
      </c>
    </row>
    <row r="1335" spans="9:11" x14ac:dyDescent="0.25">
      <c r="I1335" s="86">
        <v>1334</v>
      </c>
      <c r="J1335" s="87">
        <v>7.6322699843959612</v>
      </c>
      <c r="K1335" s="87">
        <v>11.923606032610964</v>
      </c>
    </row>
    <row r="1336" spans="9:11" x14ac:dyDescent="0.25">
      <c r="I1336" s="86">
        <v>1335</v>
      </c>
      <c r="J1336" s="87">
        <v>3.6648933317936407</v>
      </c>
      <c r="K1336" s="87">
        <v>8.5185535935998402</v>
      </c>
    </row>
    <row r="1337" spans="9:11" x14ac:dyDescent="0.25">
      <c r="I1337" s="86">
        <v>1336</v>
      </c>
      <c r="J1337" s="87">
        <v>2.1434615969420339</v>
      </c>
      <c r="K1337" s="87">
        <v>9.570934365794578</v>
      </c>
    </row>
    <row r="1338" spans="9:11" x14ac:dyDescent="0.25">
      <c r="I1338" s="86">
        <v>1337</v>
      </c>
      <c r="J1338" s="87">
        <v>-0.2491014767279931</v>
      </c>
      <c r="K1338" s="87">
        <v>4.8312270089763896</v>
      </c>
    </row>
    <row r="1339" spans="9:11" x14ac:dyDescent="0.25">
      <c r="I1339" s="86">
        <v>1338</v>
      </c>
      <c r="J1339" s="87">
        <v>-0.2092170127192654</v>
      </c>
      <c r="K1339" s="87">
        <v>5.375263530420308</v>
      </c>
    </row>
    <row r="1340" spans="9:11" x14ac:dyDescent="0.25">
      <c r="I1340" s="86">
        <v>1339</v>
      </c>
      <c r="J1340" s="87">
        <v>3.6514983923918791</v>
      </c>
      <c r="K1340" s="87">
        <v>8.2225956093739949</v>
      </c>
    </row>
    <row r="1341" spans="9:11" x14ac:dyDescent="0.25">
      <c r="I1341" s="86">
        <v>1340</v>
      </c>
      <c r="J1341" s="87">
        <v>2.9590220539268417</v>
      </c>
      <c r="K1341" s="87">
        <v>8.1300122943848034</v>
      </c>
    </row>
    <row r="1342" spans="9:11" x14ac:dyDescent="0.25">
      <c r="I1342" s="86">
        <v>1341</v>
      </c>
      <c r="J1342" s="87">
        <v>3.5384525637786055</v>
      </c>
      <c r="K1342" s="87">
        <v>6.7903831349043804</v>
      </c>
    </row>
    <row r="1343" spans="9:11" x14ac:dyDescent="0.25">
      <c r="I1343" s="86">
        <v>1342</v>
      </c>
      <c r="J1343" s="87">
        <v>2.9508184870714533</v>
      </c>
      <c r="K1343" s="87">
        <v>7.7595464002326819</v>
      </c>
    </row>
    <row r="1344" spans="9:11" x14ac:dyDescent="0.25">
      <c r="I1344" s="86">
        <v>1343</v>
      </c>
      <c r="J1344" s="87">
        <v>1.994819897495792</v>
      </c>
      <c r="K1344" s="87">
        <v>5.7691104884220721</v>
      </c>
    </row>
    <row r="1345" spans="9:11" x14ac:dyDescent="0.25">
      <c r="I1345" s="86">
        <v>1344</v>
      </c>
      <c r="J1345" s="87">
        <v>2.3443979904482051</v>
      </c>
      <c r="K1345" s="87">
        <v>7.2114503245610315</v>
      </c>
    </row>
    <row r="1346" spans="9:11" x14ac:dyDescent="0.25">
      <c r="I1346" s="86">
        <v>1345</v>
      </c>
      <c r="J1346" s="87">
        <v>-0.4265410723475469</v>
      </c>
      <c r="K1346" s="87">
        <v>5.7803279862338943</v>
      </c>
    </row>
    <row r="1347" spans="9:11" x14ac:dyDescent="0.25">
      <c r="I1347" s="86">
        <v>1346</v>
      </c>
      <c r="J1347" s="87">
        <v>2.7038093984815408</v>
      </c>
      <c r="K1347" s="87">
        <v>6.2854248672384738</v>
      </c>
    </row>
    <row r="1348" spans="9:11" x14ac:dyDescent="0.25">
      <c r="I1348" s="86">
        <v>1347</v>
      </c>
      <c r="J1348" s="87">
        <v>0.83651270142172418</v>
      </c>
      <c r="K1348" s="87">
        <v>5.8075228545744677</v>
      </c>
    </row>
    <row r="1349" spans="9:11" x14ac:dyDescent="0.25">
      <c r="I1349" s="86">
        <v>1348</v>
      </c>
      <c r="J1349" s="87">
        <v>0.96648718398131628</v>
      </c>
      <c r="K1349" s="87">
        <v>6.965933515262015</v>
      </c>
    </row>
    <row r="1350" spans="9:11" x14ac:dyDescent="0.25">
      <c r="I1350" s="86">
        <v>1349</v>
      </c>
      <c r="J1350" s="87">
        <v>1.1246770755436275</v>
      </c>
      <c r="K1350" s="87">
        <v>6.6069969845782879</v>
      </c>
    </row>
    <row r="1351" spans="9:11" x14ac:dyDescent="0.25">
      <c r="I1351" s="86">
        <v>1350</v>
      </c>
      <c r="J1351" s="87">
        <v>1.5642376939672964</v>
      </c>
      <c r="K1351" s="87">
        <v>6.8225256328095574</v>
      </c>
    </row>
    <row r="1352" spans="9:11" x14ac:dyDescent="0.25">
      <c r="I1352" s="86">
        <v>1351</v>
      </c>
      <c r="J1352" s="87">
        <v>1.7622144582449204</v>
      </c>
      <c r="K1352" s="87">
        <v>7.4387657451596398</v>
      </c>
    </row>
    <row r="1353" spans="9:11" x14ac:dyDescent="0.25">
      <c r="I1353" s="86">
        <v>1352</v>
      </c>
      <c r="J1353" s="87">
        <v>-0.35622110479689706</v>
      </c>
      <c r="K1353" s="87">
        <v>6.5710742911012545</v>
      </c>
    </row>
    <row r="1354" spans="9:11" x14ac:dyDescent="0.25">
      <c r="I1354" s="86">
        <v>1353</v>
      </c>
      <c r="J1354" s="87">
        <v>-0.62717808424480825</v>
      </c>
      <c r="K1354" s="87">
        <v>6.5616953799179338</v>
      </c>
    </row>
    <row r="1355" spans="9:11" x14ac:dyDescent="0.25">
      <c r="I1355" s="86">
        <v>1354</v>
      </c>
      <c r="J1355" s="87">
        <v>6.4733882294969014E-2</v>
      </c>
      <c r="K1355" s="87">
        <v>6.4382463270344585</v>
      </c>
    </row>
    <row r="1356" spans="9:11" x14ac:dyDescent="0.25">
      <c r="I1356" s="86">
        <v>1355</v>
      </c>
      <c r="J1356" s="87">
        <v>4.7368912259054214</v>
      </c>
      <c r="K1356" s="87">
        <v>9.3165950192197329</v>
      </c>
    </row>
    <row r="1357" spans="9:11" x14ac:dyDescent="0.25">
      <c r="I1357" s="86">
        <v>1356</v>
      </c>
      <c r="J1357" s="87">
        <v>2.9056375326536994</v>
      </c>
      <c r="K1357" s="87">
        <v>7.8140750612868857</v>
      </c>
    </row>
    <row r="1358" spans="9:11" x14ac:dyDescent="0.25">
      <c r="I1358" s="86">
        <v>1357</v>
      </c>
      <c r="J1358" s="87">
        <v>1.63615030592082</v>
      </c>
      <c r="K1358" s="87">
        <v>5.1123866730960232</v>
      </c>
    </row>
    <row r="1359" spans="9:11" x14ac:dyDescent="0.25">
      <c r="I1359" s="86">
        <v>1358</v>
      </c>
      <c r="J1359" s="87">
        <v>-0.33797462084304186</v>
      </c>
      <c r="K1359" s="87">
        <v>5.6812162675446816</v>
      </c>
    </row>
    <row r="1360" spans="9:11" x14ac:dyDescent="0.25">
      <c r="I1360" s="86">
        <v>1359</v>
      </c>
      <c r="J1360" s="87">
        <v>0.52462094282754901</v>
      </c>
      <c r="K1360" s="87">
        <v>5.6892844737463815</v>
      </c>
    </row>
    <row r="1361" spans="9:11" x14ac:dyDescent="0.25">
      <c r="I1361" s="86">
        <v>1360</v>
      </c>
      <c r="J1361" s="87">
        <v>1.5392947877624206</v>
      </c>
      <c r="K1361" s="87">
        <v>6.2936619926900059</v>
      </c>
    </row>
    <row r="1362" spans="9:11" x14ac:dyDescent="0.25">
      <c r="I1362" s="86">
        <v>1361</v>
      </c>
      <c r="J1362" s="87">
        <v>-0.81499591548920414</v>
      </c>
      <c r="K1362" s="87">
        <v>6.2056911181533394</v>
      </c>
    </row>
    <row r="1363" spans="9:11" x14ac:dyDescent="0.25">
      <c r="I1363" s="86">
        <v>1362</v>
      </c>
      <c r="J1363" s="87">
        <v>1.6686741993853555</v>
      </c>
      <c r="K1363" s="87">
        <v>7.2777807576230984</v>
      </c>
    </row>
    <row r="1364" spans="9:11" x14ac:dyDescent="0.25">
      <c r="I1364" s="86">
        <v>1363</v>
      </c>
      <c r="J1364" s="87">
        <v>-9.7722238737175005E-2</v>
      </c>
      <c r="K1364" s="87">
        <v>6.0696059985813102</v>
      </c>
    </row>
    <row r="1365" spans="9:11" x14ac:dyDescent="0.25">
      <c r="I1365" s="86">
        <v>1364</v>
      </c>
      <c r="J1365" s="87">
        <v>0.53409327447770849</v>
      </c>
      <c r="K1365" s="87">
        <v>5.815952678304587</v>
      </c>
    </row>
    <row r="1366" spans="9:11" x14ac:dyDescent="0.25">
      <c r="I1366" s="86">
        <v>1365</v>
      </c>
      <c r="J1366" s="87">
        <v>-0.20500096969183046</v>
      </c>
      <c r="K1366" s="87">
        <v>4.5755881853407345</v>
      </c>
    </row>
    <row r="1367" spans="9:11" x14ac:dyDescent="0.25">
      <c r="I1367" s="86">
        <v>1366</v>
      </c>
      <c r="J1367" s="87">
        <v>3.9949835043384656</v>
      </c>
      <c r="K1367" s="87">
        <v>8.3240022813533159</v>
      </c>
    </row>
    <row r="1368" spans="9:11" x14ac:dyDescent="0.25">
      <c r="I1368" s="86">
        <v>1367</v>
      </c>
      <c r="J1368" s="87">
        <v>3.9064224068726379</v>
      </c>
      <c r="K1368" s="87">
        <v>4.9051693179111924</v>
      </c>
    </row>
    <row r="1369" spans="9:11" x14ac:dyDescent="0.25">
      <c r="I1369" s="86">
        <v>1368</v>
      </c>
      <c r="J1369" s="87">
        <v>2.3205095264402598</v>
      </c>
      <c r="K1369" s="87">
        <v>9.1566567469690749</v>
      </c>
    </row>
    <row r="1370" spans="9:11" x14ac:dyDescent="0.25">
      <c r="I1370" s="86">
        <v>1369</v>
      </c>
      <c r="J1370" s="87">
        <v>-4.992476442975935E-2</v>
      </c>
      <c r="K1370" s="87">
        <v>7.1238978770078827</v>
      </c>
    </row>
    <row r="1371" spans="9:11" x14ac:dyDescent="0.25">
      <c r="I1371" s="86">
        <v>1370</v>
      </c>
      <c r="J1371" s="87">
        <v>0.85198700486034173</v>
      </c>
      <c r="K1371" s="87">
        <v>5.6388013691795091</v>
      </c>
    </row>
    <row r="1372" spans="9:11" x14ac:dyDescent="0.25">
      <c r="I1372" s="86">
        <v>1371</v>
      </c>
      <c r="J1372" s="87">
        <v>3.0673328008746825</v>
      </c>
      <c r="K1372" s="87">
        <v>7.1319059561644975</v>
      </c>
    </row>
    <row r="1373" spans="9:11" x14ac:dyDescent="0.25">
      <c r="I1373" s="86">
        <v>1372</v>
      </c>
      <c r="J1373" s="87">
        <v>-0.21374965168721305</v>
      </c>
      <c r="K1373" s="87">
        <v>3.875794935605863</v>
      </c>
    </row>
    <row r="1374" spans="9:11" x14ac:dyDescent="0.25">
      <c r="I1374" s="86">
        <v>1373</v>
      </c>
      <c r="J1374" s="87">
        <v>4.8815936272080176</v>
      </c>
      <c r="K1374" s="87">
        <v>9.6699510323370585</v>
      </c>
    </row>
    <row r="1375" spans="9:11" x14ac:dyDescent="0.25">
      <c r="I1375" s="86">
        <v>1374</v>
      </c>
      <c r="J1375" s="87">
        <v>4.0428300342607706</v>
      </c>
      <c r="K1375" s="87">
        <v>7.4306504593811287</v>
      </c>
    </row>
    <row r="1376" spans="9:11" x14ac:dyDescent="0.25">
      <c r="I1376" s="86">
        <v>1375</v>
      </c>
      <c r="J1376" s="87">
        <v>1.6204270713582369</v>
      </c>
      <c r="K1376" s="87">
        <v>8.4066705593602489</v>
      </c>
    </row>
    <row r="1377" spans="9:11" x14ac:dyDescent="0.25">
      <c r="I1377" s="86">
        <v>1376</v>
      </c>
      <c r="J1377" s="87">
        <v>-1.1500075871579636</v>
      </c>
      <c r="K1377" s="87">
        <v>6.585825222657685</v>
      </c>
    </row>
    <row r="1378" spans="9:11" x14ac:dyDescent="0.25">
      <c r="I1378" s="86">
        <v>1377</v>
      </c>
      <c r="J1378" s="87">
        <v>-0.19626456442401441</v>
      </c>
      <c r="K1378" s="87">
        <v>5.9217940554410768</v>
      </c>
    </row>
    <row r="1379" spans="9:11" x14ac:dyDescent="0.25">
      <c r="I1379" s="86">
        <v>1378</v>
      </c>
      <c r="J1379" s="87">
        <v>-0.25362312854395919</v>
      </c>
      <c r="K1379" s="87">
        <v>4.2756887167138249</v>
      </c>
    </row>
    <row r="1380" spans="9:11" x14ac:dyDescent="0.25">
      <c r="I1380" s="86">
        <v>1379</v>
      </c>
      <c r="J1380" s="87">
        <v>2.0708242783766817</v>
      </c>
      <c r="K1380" s="87">
        <v>5.5749803174639414</v>
      </c>
    </row>
    <row r="1381" spans="9:11" x14ac:dyDescent="0.25">
      <c r="I1381" s="86">
        <v>1380</v>
      </c>
      <c r="J1381" s="87">
        <v>0.47018360052655561</v>
      </c>
      <c r="K1381" s="87">
        <v>5.3053217413055247</v>
      </c>
    </row>
    <row r="1382" spans="9:11" x14ac:dyDescent="0.25">
      <c r="I1382" s="86">
        <v>1381</v>
      </c>
      <c r="J1382" s="87">
        <v>0.99049889888475473</v>
      </c>
      <c r="K1382" s="87">
        <v>6.2282909345407367</v>
      </c>
    </row>
    <row r="1383" spans="9:11" x14ac:dyDescent="0.25">
      <c r="I1383" s="86">
        <v>1382</v>
      </c>
      <c r="J1383" s="87">
        <v>3.6372168197084385</v>
      </c>
      <c r="K1383" s="87">
        <v>6.6224884529081987</v>
      </c>
    </row>
    <row r="1384" spans="9:11" x14ac:dyDescent="0.25">
      <c r="I1384" s="86">
        <v>1383</v>
      </c>
      <c r="J1384" s="87">
        <v>3.5138971433685908</v>
      </c>
      <c r="K1384" s="87">
        <v>7.286370543835762</v>
      </c>
    </row>
    <row r="1385" spans="9:11" x14ac:dyDescent="0.25">
      <c r="I1385" s="86">
        <v>1384</v>
      </c>
      <c r="J1385" s="87">
        <v>1.7029875970229895</v>
      </c>
      <c r="K1385" s="87">
        <v>7.9294918695633401</v>
      </c>
    </row>
    <row r="1386" spans="9:11" x14ac:dyDescent="0.25">
      <c r="I1386" s="86">
        <v>1385</v>
      </c>
      <c r="J1386" s="87">
        <v>1.2864693947280097</v>
      </c>
      <c r="K1386" s="87">
        <v>7.4978353661064778</v>
      </c>
    </row>
    <row r="1387" spans="9:11" x14ac:dyDescent="0.25">
      <c r="I1387" s="86">
        <v>1386</v>
      </c>
      <c r="J1387" s="87">
        <v>-0.9210238225160472</v>
      </c>
      <c r="K1387" s="87">
        <v>6.1743600445817082</v>
      </c>
    </row>
    <row r="1388" spans="9:11" x14ac:dyDescent="0.25">
      <c r="I1388" s="86">
        <v>1387</v>
      </c>
      <c r="J1388" s="87">
        <v>0.4329919218051268</v>
      </c>
      <c r="K1388" s="87">
        <v>5.30835567996749</v>
      </c>
    </row>
    <row r="1389" spans="9:11" x14ac:dyDescent="0.25">
      <c r="I1389" s="86">
        <v>1388</v>
      </c>
      <c r="J1389" s="87">
        <v>0.43963113249224817</v>
      </c>
      <c r="K1389" s="87">
        <v>4.8339979939944513</v>
      </c>
    </row>
    <row r="1390" spans="9:11" x14ac:dyDescent="0.25">
      <c r="I1390" s="86">
        <v>1389</v>
      </c>
      <c r="J1390" s="87">
        <v>1.5966453079729397</v>
      </c>
      <c r="K1390" s="87">
        <v>5.2142203620349719</v>
      </c>
    </row>
    <row r="1391" spans="9:11" x14ac:dyDescent="0.25">
      <c r="I1391" s="86">
        <v>1390</v>
      </c>
      <c r="J1391" s="87">
        <v>2.6957395205229417</v>
      </c>
      <c r="K1391" s="87">
        <v>5.5155915323578366</v>
      </c>
    </row>
    <row r="1392" spans="9:11" x14ac:dyDescent="0.25">
      <c r="I1392" s="86">
        <v>1391</v>
      </c>
      <c r="J1392" s="87">
        <v>-1.0930562447549144</v>
      </c>
      <c r="K1392" s="87">
        <v>4.7000331133858397</v>
      </c>
    </row>
    <row r="1393" spans="9:11" x14ac:dyDescent="0.25">
      <c r="I1393" s="86">
        <v>1392</v>
      </c>
      <c r="J1393" s="87">
        <v>2.2468625470384715</v>
      </c>
      <c r="K1393" s="87">
        <v>8.1183773812703759</v>
      </c>
    </row>
    <row r="1394" spans="9:11" x14ac:dyDescent="0.25">
      <c r="I1394" s="86">
        <v>1393</v>
      </c>
      <c r="J1394" s="87">
        <v>1.0002213900509176</v>
      </c>
      <c r="K1394" s="87">
        <v>7.3105585683719632</v>
      </c>
    </row>
    <row r="1395" spans="9:11" x14ac:dyDescent="0.25">
      <c r="I1395" s="86">
        <v>1394</v>
      </c>
      <c r="J1395" s="87">
        <v>-0.56139972633434887</v>
      </c>
      <c r="K1395" s="87">
        <v>5.288194546469219</v>
      </c>
    </row>
    <row r="1396" spans="9:11" x14ac:dyDescent="0.25">
      <c r="I1396" s="86">
        <v>1395</v>
      </c>
      <c r="J1396" s="87">
        <v>0.83984840818457762</v>
      </c>
      <c r="K1396" s="87">
        <v>6.0860406012986035</v>
      </c>
    </row>
    <row r="1397" spans="9:11" x14ac:dyDescent="0.25">
      <c r="I1397" s="86">
        <v>1396</v>
      </c>
      <c r="J1397" s="87">
        <v>-1.0807111966461695</v>
      </c>
      <c r="K1397" s="87">
        <v>5.960046411668487</v>
      </c>
    </row>
    <row r="1398" spans="9:11" x14ac:dyDescent="0.25">
      <c r="I1398" s="86">
        <v>1397</v>
      </c>
      <c r="J1398" s="87">
        <v>1.4874699799164928</v>
      </c>
      <c r="K1398" s="87">
        <v>7.817243395512639</v>
      </c>
    </row>
    <row r="1399" spans="9:11" x14ac:dyDescent="0.25">
      <c r="I1399" s="86">
        <v>1398</v>
      </c>
      <c r="J1399" s="87">
        <v>-0.54875423446696248</v>
      </c>
      <c r="K1399" s="87">
        <v>4.3998572190692418</v>
      </c>
    </row>
    <row r="1400" spans="9:11" x14ac:dyDescent="0.25">
      <c r="I1400" s="86">
        <v>1399</v>
      </c>
      <c r="J1400" s="87">
        <v>3.4085028690414045</v>
      </c>
      <c r="K1400" s="87">
        <v>8.0333829188351995</v>
      </c>
    </row>
    <row r="1401" spans="9:11" x14ac:dyDescent="0.25">
      <c r="I1401" s="86">
        <v>1400</v>
      </c>
      <c r="J1401" s="87">
        <v>4.3627519445726</v>
      </c>
      <c r="K1401" s="87">
        <v>8.0947570259775699</v>
      </c>
    </row>
    <row r="1402" spans="9:11" x14ac:dyDescent="0.25">
      <c r="I1402" s="86">
        <v>1401</v>
      </c>
      <c r="J1402" s="87">
        <v>3.8628704305553452</v>
      </c>
      <c r="K1402" s="87">
        <v>9.8664290194583941</v>
      </c>
    </row>
    <row r="1403" spans="9:11" x14ac:dyDescent="0.25">
      <c r="I1403" s="86">
        <v>1402</v>
      </c>
      <c r="J1403" s="87">
        <v>0.84997528229743891</v>
      </c>
      <c r="K1403" s="87">
        <v>5.6614240469280812</v>
      </c>
    </row>
    <row r="1404" spans="9:11" x14ac:dyDescent="0.25">
      <c r="I1404" s="86">
        <v>1403</v>
      </c>
      <c r="J1404" s="87">
        <v>2.6891217523356543</v>
      </c>
      <c r="K1404" s="87">
        <v>7.0054468594255921</v>
      </c>
    </row>
    <row r="1405" spans="9:11" x14ac:dyDescent="0.25">
      <c r="I1405" s="86">
        <v>1404</v>
      </c>
      <c r="J1405" s="87">
        <v>3.1544255950533149</v>
      </c>
      <c r="K1405" s="87">
        <v>7.0762567695399214</v>
      </c>
    </row>
    <row r="1406" spans="9:11" x14ac:dyDescent="0.25">
      <c r="I1406" s="86">
        <v>1405</v>
      </c>
      <c r="J1406" s="87">
        <v>1.0897232267128434</v>
      </c>
      <c r="K1406" s="87">
        <v>6.1727534945419116</v>
      </c>
    </row>
    <row r="1407" spans="9:11" x14ac:dyDescent="0.25">
      <c r="I1407" s="86">
        <v>1406</v>
      </c>
      <c r="J1407" s="87">
        <v>0.32350975684852301</v>
      </c>
      <c r="K1407" s="87">
        <v>6.330212449984157</v>
      </c>
    </row>
    <row r="1408" spans="9:11" x14ac:dyDescent="0.25">
      <c r="I1408" s="86">
        <v>1407</v>
      </c>
      <c r="J1408" s="87">
        <v>0.22916484532783521</v>
      </c>
      <c r="K1408" s="87">
        <v>5.9068721401282742</v>
      </c>
    </row>
    <row r="1409" spans="9:11" x14ac:dyDescent="0.25">
      <c r="I1409" s="86">
        <v>1408</v>
      </c>
      <c r="J1409" s="87">
        <v>1.0764166078533428</v>
      </c>
      <c r="K1409" s="87">
        <v>7.7528887667423501</v>
      </c>
    </row>
    <row r="1410" spans="9:11" x14ac:dyDescent="0.25">
      <c r="I1410" s="86">
        <v>1409</v>
      </c>
      <c r="J1410" s="87">
        <v>-0.39704303442710565</v>
      </c>
      <c r="K1410" s="87">
        <v>6.6286032348301251</v>
      </c>
    </row>
    <row r="1411" spans="9:11" x14ac:dyDescent="0.25">
      <c r="I1411" s="86">
        <v>1410</v>
      </c>
      <c r="J1411" s="87">
        <v>1.4516535217706794</v>
      </c>
      <c r="K1411" s="87">
        <v>6.6692787423987561</v>
      </c>
    </row>
    <row r="1412" spans="9:11" x14ac:dyDescent="0.25">
      <c r="I1412" s="86">
        <v>1411</v>
      </c>
      <c r="J1412" s="87">
        <v>1.2092241932531294</v>
      </c>
      <c r="K1412" s="87">
        <v>5.9766268121061117</v>
      </c>
    </row>
    <row r="1413" spans="9:11" x14ac:dyDescent="0.25">
      <c r="I1413" s="86">
        <v>1412</v>
      </c>
      <c r="J1413" s="87">
        <v>-0.67062970825546664</v>
      </c>
      <c r="K1413" s="87">
        <v>4.4931361047271343</v>
      </c>
    </row>
    <row r="1414" spans="9:11" x14ac:dyDescent="0.25">
      <c r="I1414" s="86">
        <v>1413</v>
      </c>
      <c r="J1414" s="87">
        <v>0.88800906685738745</v>
      </c>
      <c r="K1414" s="87">
        <v>5.5818212318254936</v>
      </c>
    </row>
    <row r="1415" spans="9:11" x14ac:dyDescent="0.25">
      <c r="I1415" s="86">
        <v>1414</v>
      </c>
      <c r="J1415" s="87">
        <v>1.3688501051251869</v>
      </c>
      <c r="K1415" s="87">
        <v>6.9794752818913697</v>
      </c>
    </row>
    <row r="1416" spans="9:11" x14ac:dyDescent="0.25">
      <c r="I1416" s="86">
        <v>1415</v>
      </c>
      <c r="J1416" s="87">
        <v>0.55218714817283399</v>
      </c>
      <c r="K1416" s="87">
        <v>5.2119723251618542</v>
      </c>
    </row>
    <row r="1417" spans="9:11" x14ac:dyDescent="0.25">
      <c r="I1417" s="86">
        <v>1416</v>
      </c>
      <c r="J1417" s="87">
        <v>4.2788287411475565</v>
      </c>
      <c r="K1417" s="87">
        <v>7.310415790673976</v>
      </c>
    </row>
    <row r="1418" spans="9:11" x14ac:dyDescent="0.25">
      <c r="I1418" s="86">
        <v>1417</v>
      </c>
      <c r="J1418" s="87">
        <v>3.5726242276037512</v>
      </c>
      <c r="K1418" s="87">
        <v>8.1264989423756422</v>
      </c>
    </row>
    <row r="1419" spans="9:11" x14ac:dyDescent="0.25">
      <c r="I1419" s="86">
        <v>1418</v>
      </c>
      <c r="J1419" s="87">
        <v>1.2918463108513336</v>
      </c>
      <c r="K1419" s="87">
        <v>6.7999061167158219</v>
      </c>
    </row>
    <row r="1420" spans="9:11" x14ac:dyDescent="0.25">
      <c r="I1420" s="86">
        <v>1419</v>
      </c>
      <c r="J1420" s="87">
        <v>3.2093222111165449</v>
      </c>
      <c r="K1420" s="87">
        <v>6.8618605827065595</v>
      </c>
    </row>
    <row r="1421" spans="9:11" x14ac:dyDescent="0.25">
      <c r="I1421" s="86">
        <v>1420</v>
      </c>
      <c r="J1421" s="87">
        <v>2.4478226451739289</v>
      </c>
      <c r="K1421" s="87">
        <v>9.1112793024228722</v>
      </c>
    </row>
    <row r="1422" spans="9:11" x14ac:dyDescent="0.25">
      <c r="I1422" s="86">
        <v>1421</v>
      </c>
      <c r="J1422" s="87">
        <v>2.3553383912703194</v>
      </c>
      <c r="K1422" s="87">
        <v>5.2345144373956503</v>
      </c>
    </row>
    <row r="1423" spans="9:11" x14ac:dyDescent="0.25">
      <c r="I1423" s="86">
        <v>1422</v>
      </c>
      <c r="J1423" s="87">
        <v>2.5853994486835719</v>
      </c>
      <c r="K1423" s="87">
        <v>9.2051142509632644</v>
      </c>
    </row>
    <row r="1424" spans="9:11" x14ac:dyDescent="0.25">
      <c r="I1424" s="86">
        <v>1423</v>
      </c>
      <c r="J1424" s="87">
        <v>2.9205897355964598</v>
      </c>
      <c r="K1424" s="87">
        <v>6.6321835609655349</v>
      </c>
    </row>
    <row r="1425" spans="9:11" x14ac:dyDescent="0.25">
      <c r="I1425" s="86">
        <v>1424</v>
      </c>
      <c r="J1425" s="87">
        <v>1.9363982682155614</v>
      </c>
      <c r="K1425" s="87">
        <v>7.3990255467372332</v>
      </c>
    </row>
    <row r="1426" spans="9:11" x14ac:dyDescent="0.25">
      <c r="I1426" s="86">
        <v>1425</v>
      </c>
      <c r="J1426" s="87">
        <v>0.94519847723651029</v>
      </c>
      <c r="K1426" s="87">
        <v>8.1579088248604297</v>
      </c>
    </row>
    <row r="1427" spans="9:11" x14ac:dyDescent="0.25">
      <c r="I1427" s="86">
        <v>1426</v>
      </c>
      <c r="J1427" s="87">
        <v>0.52060395993686637</v>
      </c>
      <c r="K1427" s="87">
        <v>4.8708337511502542</v>
      </c>
    </row>
    <row r="1428" spans="9:11" x14ac:dyDescent="0.25">
      <c r="I1428" s="86">
        <v>1427</v>
      </c>
      <c r="J1428" s="87">
        <v>3.6921965008899642</v>
      </c>
      <c r="K1428" s="87">
        <v>8.4547310157875231</v>
      </c>
    </row>
    <row r="1429" spans="9:11" x14ac:dyDescent="0.25">
      <c r="I1429" s="86">
        <v>1428</v>
      </c>
      <c r="J1429" s="87">
        <v>0.32003954326193984</v>
      </c>
      <c r="K1429" s="87">
        <v>5.9898448799472783</v>
      </c>
    </row>
    <row r="1430" spans="9:11" x14ac:dyDescent="0.25">
      <c r="I1430" s="86">
        <v>1429</v>
      </c>
      <c r="J1430" s="87">
        <v>3.6498497082874213</v>
      </c>
      <c r="K1430" s="87">
        <v>9.376483072028952</v>
      </c>
    </row>
    <row r="1431" spans="9:11" x14ac:dyDescent="0.25">
      <c r="I1431" s="86">
        <v>1430</v>
      </c>
      <c r="J1431" s="87">
        <v>1.5740767762874137</v>
      </c>
      <c r="K1431" s="87">
        <v>7.1345274327919217</v>
      </c>
    </row>
    <row r="1432" spans="9:11" x14ac:dyDescent="0.25">
      <c r="I1432" s="86">
        <v>1431</v>
      </c>
      <c r="J1432" s="87">
        <v>7.1815068254734271E-2</v>
      </c>
      <c r="K1432" s="87">
        <v>7.7160205141651073</v>
      </c>
    </row>
    <row r="1433" spans="9:11" x14ac:dyDescent="0.25">
      <c r="I1433" s="86">
        <v>1432</v>
      </c>
      <c r="J1433" s="87">
        <v>0.11976526729373838</v>
      </c>
      <c r="K1433" s="87">
        <v>5.9372601870358661</v>
      </c>
    </row>
    <row r="1434" spans="9:11" x14ac:dyDescent="0.25">
      <c r="I1434" s="86">
        <v>1433</v>
      </c>
      <c r="J1434" s="87">
        <v>-0.17499748555147354</v>
      </c>
      <c r="K1434" s="87">
        <v>4.8287579466262294</v>
      </c>
    </row>
    <row r="1435" spans="9:11" x14ac:dyDescent="0.25">
      <c r="I1435" s="86">
        <v>1434</v>
      </c>
      <c r="J1435" s="87">
        <v>2.4322394441555355</v>
      </c>
      <c r="K1435" s="87">
        <v>8.4381128614882819</v>
      </c>
    </row>
    <row r="1436" spans="9:11" x14ac:dyDescent="0.25">
      <c r="I1436" s="86">
        <v>1435</v>
      </c>
      <c r="J1436" s="87">
        <v>0.84099894483057991</v>
      </c>
      <c r="K1436" s="87">
        <v>6.1973917673199939</v>
      </c>
    </row>
    <row r="1437" spans="9:11" x14ac:dyDescent="0.25">
      <c r="I1437" s="86">
        <v>1436</v>
      </c>
      <c r="J1437" s="87">
        <v>-0.94562300503840424</v>
      </c>
      <c r="K1437" s="87">
        <v>4.3928537238353735</v>
      </c>
    </row>
    <row r="1438" spans="9:11" x14ac:dyDescent="0.25">
      <c r="I1438" s="86">
        <v>1437</v>
      </c>
      <c r="J1438" s="87">
        <v>3.3212615160404582</v>
      </c>
      <c r="K1438" s="87">
        <v>7.6311480715954394</v>
      </c>
    </row>
    <row r="1439" spans="9:11" x14ac:dyDescent="0.25">
      <c r="I1439" s="86">
        <v>1438</v>
      </c>
      <c r="J1439" s="87">
        <v>1.8242850783961435</v>
      </c>
      <c r="K1439" s="87">
        <v>7.5770126661567927</v>
      </c>
    </row>
    <row r="1440" spans="9:11" x14ac:dyDescent="0.25">
      <c r="I1440" s="86">
        <v>1439</v>
      </c>
      <c r="J1440" s="87">
        <v>1.5506355942996408</v>
      </c>
      <c r="K1440" s="87">
        <v>6.1008882159027289</v>
      </c>
    </row>
    <row r="1441" spans="9:11" x14ac:dyDescent="0.25">
      <c r="I1441" s="86">
        <v>1440</v>
      </c>
      <c r="J1441" s="87">
        <v>-0.34154035579169584</v>
      </c>
      <c r="K1441" s="87">
        <v>4.4449035815307161</v>
      </c>
    </row>
    <row r="1442" spans="9:11" x14ac:dyDescent="0.25">
      <c r="I1442" s="86">
        <v>1441</v>
      </c>
      <c r="J1442" s="87">
        <v>5.1388847736182255</v>
      </c>
      <c r="K1442" s="87">
        <v>6.5916604535112064</v>
      </c>
    </row>
    <row r="1443" spans="9:11" x14ac:dyDescent="0.25">
      <c r="I1443" s="86">
        <v>1442</v>
      </c>
      <c r="J1443" s="87">
        <v>0.49976603606674619</v>
      </c>
      <c r="K1443" s="87">
        <v>5.1369804612900936</v>
      </c>
    </row>
    <row r="1444" spans="9:11" x14ac:dyDescent="0.25">
      <c r="I1444" s="86">
        <v>1443</v>
      </c>
      <c r="J1444" s="87">
        <v>1.5530134956665131</v>
      </c>
      <c r="K1444" s="87">
        <v>6.4881798120447964</v>
      </c>
    </row>
    <row r="1445" spans="9:11" x14ac:dyDescent="0.25">
      <c r="I1445" s="86">
        <v>1444</v>
      </c>
      <c r="J1445" s="87">
        <v>3.6534514498145603</v>
      </c>
      <c r="K1445" s="87">
        <v>9.4532683008533436</v>
      </c>
    </row>
    <row r="1446" spans="9:11" x14ac:dyDescent="0.25">
      <c r="I1446" s="86">
        <v>1445</v>
      </c>
      <c r="J1446" s="87">
        <v>0.37998935877438811</v>
      </c>
      <c r="K1446" s="87">
        <v>4.6368489841757556</v>
      </c>
    </row>
    <row r="1447" spans="9:11" x14ac:dyDescent="0.25">
      <c r="I1447" s="86">
        <v>1446</v>
      </c>
      <c r="J1447" s="87">
        <v>3.1405275622927036</v>
      </c>
      <c r="K1447" s="87">
        <v>7.5674134171142109</v>
      </c>
    </row>
    <row r="1448" spans="9:11" x14ac:dyDescent="0.25">
      <c r="I1448" s="86">
        <v>1447</v>
      </c>
      <c r="J1448" s="87">
        <v>-1.1736069647737795</v>
      </c>
      <c r="K1448" s="87">
        <v>6.3945168617372659</v>
      </c>
    </row>
    <row r="1449" spans="9:11" x14ac:dyDescent="0.25">
      <c r="I1449" s="86">
        <v>1448</v>
      </c>
      <c r="J1449" s="87">
        <v>2.6574420186278678</v>
      </c>
      <c r="K1449" s="87">
        <v>8.0283471305097205</v>
      </c>
    </row>
    <row r="1450" spans="9:11" x14ac:dyDescent="0.25">
      <c r="I1450" s="86">
        <v>1449</v>
      </c>
      <c r="J1450" s="87">
        <v>6.7262394905058365E-2</v>
      </c>
      <c r="K1450" s="87">
        <v>5.2321416760513602</v>
      </c>
    </row>
    <row r="1451" spans="9:11" x14ac:dyDescent="0.25">
      <c r="I1451" s="86">
        <v>1450</v>
      </c>
      <c r="J1451" s="87">
        <v>3.1715703405202467</v>
      </c>
      <c r="K1451" s="87">
        <v>8.9518627309529073</v>
      </c>
    </row>
    <row r="1452" spans="9:11" x14ac:dyDescent="0.25">
      <c r="I1452" s="86">
        <v>1451</v>
      </c>
      <c r="J1452" s="87">
        <v>1.9226201419603166</v>
      </c>
      <c r="K1452" s="87">
        <v>5.9154596582189214</v>
      </c>
    </row>
    <row r="1453" spans="9:11" x14ac:dyDescent="0.25">
      <c r="I1453" s="86">
        <v>1452</v>
      </c>
      <c r="J1453" s="87">
        <v>2.4490378914507076</v>
      </c>
      <c r="K1453" s="87">
        <v>8.1193922462606327</v>
      </c>
    </row>
    <row r="1454" spans="9:11" x14ac:dyDescent="0.25">
      <c r="I1454" s="86">
        <v>1453</v>
      </c>
      <c r="J1454" s="87">
        <v>10.854175164900445</v>
      </c>
      <c r="K1454" s="87">
        <v>9.6626137699470309</v>
      </c>
    </row>
    <row r="1455" spans="9:11" x14ac:dyDescent="0.25">
      <c r="I1455" s="86">
        <v>1454</v>
      </c>
      <c r="J1455" s="87">
        <v>1.9013814480770144</v>
      </c>
      <c r="K1455" s="87">
        <v>6.7738700671654799</v>
      </c>
    </row>
    <row r="1456" spans="9:11" x14ac:dyDescent="0.25">
      <c r="I1456" s="86">
        <v>1455</v>
      </c>
      <c r="J1456" s="87">
        <v>0.84833868626723863</v>
      </c>
      <c r="K1456" s="87">
        <v>5.4617660964504404</v>
      </c>
    </row>
    <row r="1457" spans="9:11" x14ac:dyDescent="0.25">
      <c r="I1457" s="86">
        <v>1456</v>
      </c>
      <c r="J1457" s="87">
        <v>0.72085673252832994</v>
      </c>
      <c r="K1457" s="87">
        <v>5.46006034394222</v>
      </c>
    </row>
    <row r="1458" spans="9:11" x14ac:dyDescent="0.25">
      <c r="I1458" s="86">
        <v>1457</v>
      </c>
      <c r="J1458" s="87">
        <v>1.5293219067286099</v>
      </c>
      <c r="K1458" s="87">
        <v>6.5076596376704687</v>
      </c>
    </row>
    <row r="1459" spans="9:11" x14ac:dyDescent="0.25">
      <c r="I1459" s="86">
        <v>1458</v>
      </c>
      <c r="J1459" s="87">
        <v>1.1709398205597834</v>
      </c>
      <c r="K1459" s="87">
        <v>7.9653856847400766</v>
      </c>
    </row>
    <row r="1460" spans="9:11" x14ac:dyDescent="0.25">
      <c r="I1460" s="86">
        <v>1459</v>
      </c>
      <c r="J1460" s="87">
        <v>6.2331909409403199</v>
      </c>
      <c r="K1460" s="87">
        <v>11.931043195699162</v>
      </c>
    </row>
    <row r="1461" spans="9:11" x14ac:dyDescent="0.25">
      <c r="I1461" s="86">
        <v>1460</v>
      </c>
      <c r="J1461" s="87">
        <v>2.9625999165769024</v>
      </c>
      <c r="K1461" s="87">
        <v>7.8037405608333259</v>
      </c>
    </row>
    <row r="1462" spans="9:11" x14ac:dyDescent="0.25">
      <c r="I1462" s="86">
        <v>1461</v>
      </c>
      <c r="J1462" s="87">
        <v>0.99230664995827711</v>
      </c>
      <c r="K1462" s="87">
        <v>5.9383614721999303</v>
      </c>
    </row>
    <row r="1463" spans="9:11" x14ac:dyDescent="0.25">
      <c r="I1463" s="86">
        <v>1462</v>
      </c>
      <c r="J1463" s="87">
        <v>-1.1835910701024286</v>
      </c>
      <c r="K1463" s="87">
        <v>5.1942815230593435</v>
      </c>
    </row>
    <row r="1464" spans="9:11" x14ac:dyDescent="0.25">
      <c r="I1464" s="86">
        <v>1463</v>
      </c>
      <c r="J1464" s="87">
        <v>0.49166269511832938</v>
      </c>
      <c r="K1464" s="87">
        <v>5.4114162499516203</v>
      </c>
    </row>
    <row r="1465" spans="9:11" x14ac:dyDescent="0.25">
      <c r="I1465" s="86">
        <v>1464</v>
      </c>
      <c r="J1465" s="87">
        <v>3.4073663250971498</v>
      </c>
      <c r="K1465" s="87">
        <v>8.8382415849448588</v>
      </c>
    </row>
    <row r="1466" spans="9:11" x14ac:dyDescent="0.25">
      <c r="I1466" s="86">
        <v>1465</v>
      </c>
      <c r="J1466" s="87">
        <v>-0.97828117031140049</v>
      </c>
      <c r="K1466" s="87">
        <v>5.6749707293979599</v>
      </c>
    </row>
    <row r="1467" spans="9:11" x14ac:dyDescent="0.25">
      <c r="I1467" s="86">
        <v>1466</v>
      </c>
      <c r="J1467" s="87">
        <v>0.9289399906671254</v>
      </c>
      <c r="K1467" s="87">
        <v>4.4391283749273747</v>
      </c>
    </row>
    <row r="1468" spans="9:11" x14ac:dyDescent="0.25">
      <c r="I1468" s="86">
        <v>1467</v>
      </c>
      <c r="J1468" s="87">
        <v>-0.87974312504533181</v>
      </c>
      <c r="K1468" s="87">
        <v>5.9714556529965197</v>
      </c>
    </row>
    <row r="1469" spans="9:11" x14ac:dyDescent="0.25">
      <c r="I1469" s="86">
        <v>1468</v>
      </c>
      <c r="J1469" s="87">
        <v>3.9761213881416495</v>
      </c>
      <c r="K1469" s="87">
        <v>6.9543670194242644</v>
      </c>
    </row>
    <row r="1470" spans="9:11" x14ac:dyDescent="0.25">
      <c r="I1470" s="86">
        <v>1469</v>
      </c>
      <c r="J1470" s="87">
        <v>2.4833300046640385</v>
      </c>
      <c r="K1470" s="87">
        <v>9.04268458050554</v>
      </c>
    </row>
    <row r="1471" spans="9:11" x14ac:dyDescent="0.25">
      <c r="I1471" s="86">
        <v>1470</v>
      </c>
      <c r="J1471" s="87">
        <v>-1.2927776300691445</v>
      </c>
      <c r="K1471" s="87">
        <v>3.982282230977733</v>
      </c>
    </row>
    <row r="1472" spans="9:11" x14ac:dyDescent="0.25">
      <c r="I1472" s="86">
        <v>1471</v>
      </c>
      <c r="J1472" s="87">
        <v>2.367516484807255</v>
      </c>
      <c r="K1472" s="87">
        <v>5.8427369174588231</v>
      </c>
    </row>
    <row r="1473" spans="9:11" x14ac:dyDescent="0.25">
      <c r="I1473" s="86">
        <v>1472</v>
      </c>
      <c r="J1473" s="87">
        <v>3.9404929660237151</v>
      </c>
      <c r="K1473" s="87">
        <v>7.8170398612567897</v>
      </c>
    </row>
    <row r="1474" spans="9:11" x14ac:dyDescent="0.25">
      <c r="I1474" s="86">
        <v>1473</v>
      </c>
      <c r="J1474" s="87">
        <v>2.1310321822731355</v>
      </c>
      <c r="K1474" s="87">
        <v>7.2399658683478663</v>
      </c>
    </row>
    <row r="1475" spans="9:11" x14ac:dyDescent="0.25">
      <c r="I1475" s="86">
        <v>1474</v>
      </c>
      <c r="J1475" s="87">
        <v>1.4994121817300829</v>
      </c>
      <c r="K1475" s="87">
        <v>6.7383502931340207</v>
      </c>
    </row>
    <row r="1476" spans="9:11" x14ac:dyDescent="0.25">
      <c r="I1476" s="86">
        <v>1475</v>
      </c>
      <c r="J1476" s="87">
        <v>4.3324692161085201</v>
      </c>
      <c r="K1476" s="87">
        <v>7.7329045764048496</v>
      </c>
    </row>
    <row r="1477" spans="9:11" x14ac:dyDescent="0.25">
      <c r="I1477" s="86">
        <v>1476</v>
      </c>
      <c r="J1477" s="87">
        <v>2.1748656200798591</v>
      </c>
      <c r="K1477" s="87">
        <v>6.5817560589594075</v>
      </c>
    </row>
    <row r="1478" spans="9:11" x14ac:dyDescent="0.25">
      <c r="I1478" s="86">
        <v>1477</v>
      </c>
      <c r="J1478" s="87">
        <v>4.930628536449845</v>
      </c>
      <c r="K1478" s="87">
        <v>7.1992987952077163</v>
      </c>
    </row>
    <row r="1479" spans="9:11" x14ac:dyDescent="0.25">
      <c r="I1479" s="86">
        <v>1478</v>
      </c>
      <c r="J1479" s="87">
        <v>2.1216271312065178</v>
      </c>
      <c r="K1479" s="87">
        <v>7.1526731584693648</v>
      </c>
    </row>
    <row r="1480" spans="9:11" x14ac:dyDescent="0.25">
      <c r="I1480" s="86">
        <v>1479</v>
      </c>
      <c r="J1480" s="87">
        <v>2.292430140112268</v>
      </c>
      <c r="K1480" s="87">
        <v>7.1235438247862906</v>
      </c>
    </row>
    <row r="1481" spans="9:11" x14ac:dyDescent="0.25">
      <c r="I1481" s="86">
        <v>1480</v>
      </c>
      <c r="J1481" s="87">
        <v>1.754770487533782</v>
      </c>
      <c r="K1481" s="87">
        <v>6.1394988402269828</v>
      </c>
    </row>
    <row r="1482" spans="9:11" x14ac:dyDescent="0.25">
      <c r="I1482" s="86">
        <v>1481</v>
      </c>
      <c r="J1482" s="87">
        <v>4.6409571501489602</v>
      </c>
      <c r="K1482" s="87">
        <v>10.784397882776815</v>
      </c>
    </row>
    <row r="1483" spans="9:11" x14ac:dyDescent="0.25">
      <c r="I1483" s="86">
        <v>1482</v>
      </c>
      <c r="J1483" s="87">
        <v>-1.1735739384852684</v>
      </c>
      <c r="K1483" s="87">
        <v>4.9547519834367186</v>
      </c>
    </row>
    <row r="1484" spans="9:11" x14ac:dyDescent="0.25">
      <c r="I1484" s="86">
        <v>1483</v>
      </c>
      <c r="J1484" s="87">
        <v>1.875150032178392</v>
      </c>
      <c r="K1484" s="87">
        <v>8.0799883137402908</v>
      </c>
    </row>
    <row r="1485" spans="9:11" x14ac:dyDescent="0.25">
      <c r="I1485" s="86">
        <v>1484</v>
      </c>
      <c r="J1485" s="87">
        <v>-0.53225992540531042</v>
      </c>
      <c r="K1485" s="87">
        <v>6.1325801738143939</v>
      </c>
    </row>
    <row r="1486" spans="9:11" x14ac:dyDescent="0.25">
      <c r="I1486" s="86">
        <v>1485</v>
      </c>
      <c r="J1486" s="87">
        <v>2.0603423081053265</v>
      </c>
      <c r="K1486" s="87">
        <v>7.0075728462618878</v>
      </c>
    </row>
    <row r="1487" spans="9:11" x14ac:dyDescent="0.25">
      <c r="I1487" s="86">
        <v>1486</v>
      </c>
      <c r="J1487" s="87">
        <v>2.416194326401957</v>
      </c>
      <c r="K1487" s="87">
        <v>6.9602214202219139</v>
      </c>
    </row>
    <row r="1488" spans="9:11" x14ac:dyDescent="0.25">
      <c r="I1488" s="86">
        <v>1487</v>
      </c>
      <c r="J1488" s="87">
        <v>-0.20584360890799314</v>
      </c>
      <c r="K1488" s="87">
        <v>5.5809857333008281</v>
      </c>
    </row>
    <row r="1489" spans="9:11" x14ac:dyDescent="0.25">
      <c r="I1489" s="86">
        <v>1488</v>
      </c>
      <c r="J1489" s="87">
        <v>1.9056061272484444</v>
      </c>
      <c r="K1489" s="87">
        <v>6.0902616133973293</v>
      </c>
    </row>
    <row r="1490" spans="9:11" x14ac:dyDescent="0.25">
      <c r="I1490" s="86">
        <v>1489</v>
      </c>
      <c r="J1490" s="87">
        <v>-1.5326808503589389</v>
      </c>
      <c r="K1490" s="87">
        <v>5.4293291076366721</v>
      </c>
    </row>
    <row r="1491" spans="9:11" x14ac:dyDescent="0.25">
      <c r="I1491" s="86">
        <v>1490</v>
      </c>
      <c r="J1491" s="87">
        <v>3.5110707506044196</v>
      </c>
      <c r="K1491" s="87">
        <v>7.4801496401880687</v>
      </c>
    </row>
    <row r="1492" spans="9:11" x14ac:dyDescent="0.25">
      <c r="I1492" s="86">
        <v>1491</v>
      </c>
      <c r="J1492" s="87">
        <v>4.4183205270676176</v>
      </c>
      <c r="K1492" s="87">
        <v>8.6928848669819612</v>
      </c>
    </row>
    <row r="1493" spans="9:11" x14ac:dyDescent="0.25">
      <c r="I1493" s="86">
        <v>1492</v>
      </c>
      <c r="J1493" s="87">
        <v>0.50815702556319664</v>
      </c>
      <c r="K1493" s="87">
        <v>6.1051926008198407</v>
      </c>
    </row>
    <row r="1494" spans="9:11" x14ac:dyDescent="0.25">
      <c r="I1494" s="86">
        <v>1493</v>
      </c>
      <c r="J1494" s="87">
        <v>0.71353150279368949</v>
      </c>
      <c r="K1494" s="87">
        <v>5.0663875024830052</v>
      </c>
    </row>
    <row r="1495" spans="9:11" x14ac:dyDescent="0.25">
      <c r="I1495" s="86">
        <v>1494</v>
      </c>
      <c r="J1495" s="87">
        <v>0.7991552180573045</v>
      </c>
      <c r="K1495" s="87">
        <v>7.1722046457018518</v>
      </c>
    </row>
    <row r="1496" spans="9:11" x14ac:dyDescent="0.25">
      <c r="I1496" s="86">
        <v>1495</v>
      </c>
      <c r="J1496" s="87">
        <v>0.2085766358172445</v>
      </c>
      <c r="K1496" s="87">
        <v>4.6177585088596746</v>
      </c>
    </row>
    <row r="1497" spans="9:11" x14ac:dyDescent="0.25">
      <c r="I1497" s="86">
        <v>1496</v>
      </c>
      <c r="J1497" s="87">
        <v>3.1953423557311229</v>
      </c>
      <c r="K1497" s="87">
        <v>8.8493900298509836</v>
      </c>
    </row>
    <row r="1498" spans="9:11" x14ac:dyDescent="0.25">
      <c r="I1498" s="86">
        <v>1497</v>
      </c>
      <c r="J1498" s="87">
        <v>4.2631258695838934</v>
      </c>
      <c r="K1498" s="87">
        <v>12.12569071434533</v>
      </c>
    </row>
    <row r="1499" spans="9:11" x14ac:dyDescent="0.25">
      <c r="I1499" s="86">
        <v>1498</v>
      </c>
      <c r="J1499" s="87">
        <v>0.12531079021925251</v>
      </c>
      <c r="K1499" s="87">
        <v>6.1768903907671939</v>
      </c>
    </row>
    <row r="1500" spans="9:11" x14ac:dyDescent="0.25">
      <c r="I1500" s="86">
        <v>1499</v>
      </c>
      <c r="J1500" s="87">
        <v>0.9672030920514807</v>
      </c>
      <c r="K1500" s="87">
        <v>7.807924527438395</v>
      </c>
    </row>
    <row r="1501" spans="9:11" x14ac:dyDescent="0.25">
      <c r="I1501" s="86">
        <v>1500</v>
      </c>
      <c r="J1501" s="87">
        <v>-1.2892973166392236</v>
      </c>
      <c r="K1501" s="87">
        <v>5.1907009052157251</v>
      </c>
    </row>
    <row r="1502" spans="9:11" x14ac:dyDescent="0.25">
      <c r="I1502" s="86">
        <v>1501</v>
      </c>
      <c r="J1502" s="87">
        <v>1.5598597593353389</v>
      </c>
      <c r="K1502" s="87">
        <v>6.6404994907982973</v>
      </c>
    </row>
    <row r="1503" spans="9:11" x14ac:dyDescent="0.25">
      <c r="I1503" s="86">
        <v>1502</v>
      </c>
      <c r="J1503" s="87">
        <v>1.8845962448856568</v>
      </c>
      <c r="K1503" s="87">
        <v>7.0049001518604532</v>
      </c>
    </row>
    <row r="1504" spans="9:11" x14ac:dyDescent="0.25">
      <c r="I1504" s="86">
        <v>1503</v>
      </c>
      <c r="J1504" s="87">
        <v>0.43756968131223761</v>
      </c>
      <c r="K1504" s="87">
        <v>5.5565998658473186</v>
      </c>
    </row>
    <row r="1505" spans="9:11" x14ac:dyDescent="0.25">
      <c r="I1505" s="86">
        <v>1504</v>
      </c>
      <c r="J1505" s="87">
        <v>1.3721565335900232</v>
      </c>
      <c r="K1505" s="87">
        <v>5.6255860132317537</v>
      </c>
    </row>
    <row r="1506" spans="9:11" x14ac:dyDescent="0.25">
      <c r="I1506" s="86">
        <v>1505</v>
      </c>
      <c r="J1506" s="87">
        <v>0.40870586006063991</v>
      </c>
      <c r="K1506" s="87">
        <v>5.3918792080149469</v>
      </c>
    </row>
    <row r="1507" spans="9:11" x14ac:dyDescent="0.25">
      <c r="I1507" s="86">
        <v>1506</v>
      </c>
      <c r="J1507" s="87">
        <v>0.75281099978962729</v>
      </c>
      <c r="K1507" s="87">
        <v>5.7839370339772884</v>
      </c>
    </row>
    <row r="1508" spans="9:11" x14ac:dyDescent="0.25">
      <c r="I1508" s="86">
        <v>1507</v>
      </c>
      <c r="J1508" s="87">
        <v>0.41384467337391984</v>
      </c>
      <c r="K1508" s="87">
        <v>5.107233081331561</v>
      </c>
    </row>
    <row r="1509" spans="9:11" x14ac:dyDescent="0.25">
      <c r="I1509" s="86">
        <v>1508</v>
      </c>
      <c r="J1509" s="87">
        <v>1.2897896250047838</v>
      </c>
      <c r="K1509" s="87">
        <v>4.7605613321127409</v>
      </c>
    </row>
    <row r="1510" spans="9:11" x14ac:dyDescent="0.25">
      <c r="I1510" s="86">
        <v>1509</v>
      </c>
      <c r="J1510" s="87">
        <v>0.58413312821533481</v>
      </c>
      <c r="K1510" s="87">
        <v>5.5959369903003164</v>
      </c>
    </row>
    <row r="1511" spans="9:11" x14ac:dyDescent="0.25">
      <c r="I1511" s="86">
        <v>1510</v>
      </c>
      <c r="J1511" s="87">
        <v>-1.4736502348820784</v>
      </c>
      <c r="K1511" s="87">
        <v>4.895061190234979</v>
      </c>
    </row>
    <row r="1512" spans="9:11" x14ac:dyDescent="0.25">
      <c r="I1512" s="86">
        <v>1511</v>
      </c>
      <c r="J1512" s="87">
        <v>1.0780408420421734</v>
      </c>
      <c r="K1512" s="87">
        <v>6.9383937221210816</v>
      </c>
    </row>
    <row r="1513" spans="9:11" x14ac:dyDescent="0.25">
      <c r="I1513" s="86">
        <v>1512</v>
      </c>
      <c r="J1513" s="87">
        <v>1.6131808553478244</v>
      </c>
      <c r="K1513" s="87">
        <v>7.7068356747525852</v>
      </c>
    </row>
    <row r="1514" spans="9:11" x14ac:dyDescent="0.25">
      <c r="I1514" s="86">
        <v>1513</v>
      </c>
      <c r="J1514" s="87">
        <v>0.46881267159934303</v>
      </c>
      <c r="K1514" s="87">
        <v>6.9690172780196642</v>
      </c>
    </row>
    <row r="1515" spans="9:11" x14ac:dyDescent="0.25">
      <c r="I1515" s="86">
        <v>1514</v>
      </c>
      <c r="J1515" s="87">
        <v>0.92314084148424413</v>
      </c>
      <c r="K1515" s="87">
        <v>6.0886765262312643</v>
      </c>
    </row>
    <row r="1516" spans="9:11" x14ac:dyDescent="0.25">
      <c r="I1516" s="86">
        <v>1515</v>
      </c>
      <c r="J1516" s="87">
        <v>0.52094702463357301</v>
      </c>
      <c r="K1516" s="87">
        <v>4.9067083823321749</v>
      </c>
    </row>
    <row r="1517" spans="9:11" x14ac:dyDescent="0.25">
      <c r="I1517" s="86">
        <v>1516</v>
      </c>
      <c r="J1517" s="87">
        <v>0.30144649432542447</v>
      </c>
      <c r="K1517" s="87">
        <v>5.2253329428257729</v>
      </c>
    </row>
    <row r="1518" spans="9:11" x14ac:dyDescent="0.25">
      <c r="I1518" s="86">
        <v>1517</v>
      </c>
      <c r="J1518" s="87">
        <v>5.3742647541500492</v>
      </c>
      <c r="K1518" s="87">
        <v>8.9956439692977046</v>
      </c>
    </row>
    <row r="1519" spans="9:11" x14ac:dyDescent="0.25">
      <c r="I1519" s="86">
        <v>1518</v>
      </c>
      <c r="J1519" s="87">
        <v>1.5573492905590518</v>
      </c>
      <c r="K1519" s="87">
        <v>6.9302604194727664</v>
      </c>
    </row>
    <row r="1520" spans="9:11" x14ac:dyDescent="0.25">
      <c r="I1520" s="86">
        <v>1519</v>
      </c>
      <c r="J1520" s="87">
        <v>-3.6412514527049744E-2</v>
      </c>
      <c r="K1520" s="87">
        <v>4.54773711335163</v>
      </c>
    </row>
    <row r="1521" spans="9:11" x14ac:dyDescent="0.25">
      <c r="I1521" s="86">
        <v>1520</v>
      </c>
      <c r="J1521" s="87">
        <v>1.1740200858204717</v>
      </c>
      <c r="K1521" s="87">
        <v>5.294727625426602</v>
      </c>
    </row>
    <row r="1522" spans="9:11" x14ac:dyDescent="0.25">
      <c r="I1522" s="86">
        <v>1521</v>
      </c>
      <c r="J1522" s="87">
        <v>0.21516661983543361</v>
      </c>
      <c r="K1522" s="87">
        <v>6.3471303707963722</v>
      </c>
    </row>
    <row r="1523" spans="9:11" x14ac:dyDescent="0.25">
      <c r="I1523" s="86">
        <v>1522</v>
      </c>
      <c r="J1523" s="87">
        <v>2.7002535507015546</v>
      </c>
      <c r="K1523" s="87">
        <v>5.3503618791936631</v>
      </c>
    </row>
    <row r="1524" spans="9:11" x14ac:dyDescent="0.25">
      <c r="I1524" s="86">
        <v>1523</v>
      </c>
      <c r="J1524" s="87">
        <v>0.53859995984477482</v>
      </c>
      <c r="K1524" s="87">
        <v>6.3820931274635706</v>
      </c>
    </row>
    <row r="1525" spans="9:11" x14ac:dyDescent="0.25">
      <c r="I1525" s="86">
        <v>1524</v>
      </c>
      <c r="J1525" s="87">
        <v>2.0151592310489557</v>
      </c>
      <c r="K1525" s="87">
        <v>5.6024825633599109</v>
      </c>
    </row>
    <row r="1526" spans="9:11" x14ac:dyDescent="0.25">
      <c r="I1526" s="86">
        <v>1525</v>
      </c>
      <c r="J1526" s="87">
        <v>4.8275392754916879E-2</v>
      </c>
      <c r="K1526" s="87">
        <v>6.4249282159328045</v>
      </c>
    </row>
    <row r="1527" spans="9:11" x14ac:dyDescent="0.25">
      <c r="I1527" s="86">
        <v>1526</v>
      </c>
      <c r="J1527" s="87">
        <v>1.7314026363671777</v>
      </c>
      <c r="K1527" s="87">
        <v>6.1172539653614315</v>
      </c>
    </row>
    <row r="1528" spans="9:11" x14ac:dyDescent="0.25">
      <c r="I1528" s="86">
        <v>1527</v>
      </c>
      <c r="J1528" s="87">
        <v>-0.64289559777995375</v>
      </c>
      <c r="K1528" s="87">
        <v>6.1875122326571352</v>
      </c>
    </row>
    <row r="1529" spans="9:11" x14ac:dyDescent="0.25">
      <c r="I1529" s="86">
        <v>1528</v>
      </c>
      <c r="J1529" s="87">
        <v>0.80619278952914986</v>
      </c>
      <c r="K1529" s="87">
        <v>9.2702187068223783</v>
      </c>
    </row>
    <row r="1530" spans="9:11" x14ac:dyDescent="0.25">
      <c r="I1530" s="86">
        <v>1529</v>
      </c>
      <c r="J1530" s="87">
        <v>1.4863275304908576</v>
      </c>
      <c r="K1530" s="87">
        <v>5.5552554210915925</v>
      </c>
    </row>
    <row r="1531" spans="9:11" x14ac:dyDescent="0.25">
      <c r="I1531" s="86">
        <v>1530</v>
      </c>
      <c r="J1531" s="87">
        <v>3.7960145373880687</v>
      </c>
      <c r="K1531" s="87">
        <v>6.8381853578504783</v>
      </c>
    </row>
    <row r="1532" spans="9:11" x14ac:dyDescent="0.25">
      <c r="I1532" s="86">
        <v>1531</v>
      </c>
      <c r="J1532" s="87">
        <v>3.1841812259230506</v>
      </c>
      <c r="K1532" s="87">
        <v>8.2878002570357978</v>
      </c>
    </row>
    <row r="1533" spans="9:11" x14ac:dyDescent="0.25">
      <c r="I1533" s="86">
        <v>1532</v>
      </c>
      <c r="J1533" s="87">
        <v>-8.2755658889431594E-2</v>
      </c>
      <c r="K1533" s="87">
        <v>6.5614409895795118</v>
      </c>
    </row>
    <row r="1534" spans="9:11" x14ac:dyDescent="0.25">
      <c r="I1534" s="86">
        <v>1533</v>
      </c>
      <c r="J1534" s="87">
        <v>-1.8378009238818303</v>
      </c>
      <c r="K1534" s="87">
        <v>5.3632958803732169</v>
      </c>
    </row>
    <row r="1535" spans="9:11" x14ac:dyDescent="0.25">
      <c r="I1535" s="86">
        <v>1534</v>
      </c>
      <c r="J1535" s="87">
        <v>0.59206427936237205</v>
      </c>
      <c r="K1535" s="87">
        <v>6.715829671762874</v>
      </c>
    </row>
    <row r="1536" spans="9:11" x14ac:dyDescent="0.25">
      <c r="I1536" s="86">
        <v>1535</v>
      </c>
      <c r="J1536" s="87">
        <v>-0.34130098699778966</v>
      </c>
      <c r="K1536" s="87">
        <v>5.0220631103965552</v>
      </c>
    </row>
    <row r="1537" spans="9:11" x14ac:dyDescent="0.25">
      <c r="I1537" s="86">
        <v>1536</v>
      </c>
      <c r="J1537" s="87">
        <v>0.60886135520615881</v>
      </c>
      <c r="K1537" s="87">
        <v>6.4592504366680101</v>
      </c>
    </row>
    <row r="1538" spans="9:11" x14ac:dyDescent="0.25">
      <c r="I1538" s="86">
        <v>1537</v>
      </c>
      <c r="J1538" s="87">
        <v>1.0953517016624676</v>
      </c>
      <c r="K1538" s="87">
        <v>7.6470348956187433</v>
      </c>
    </row>
    <row r="1539" spans="9:11" x14ac:dyDescent="0.25">
      <c r="I1539" s="86">
        <v>1538</v>
      </c>
      <c r="J1539" s="87">
        <v>1.7901590419522222</v>
      </c>
      <c r="K1539" s="87">
        <v>9.1351319944033289</v>
      </c>
    </row>
    <row r="1540" spans="9:11" x14ac:dyDescent="0.25">
      <c r="I1540" s="86">
        <v>1539</v>
      </c>
      <c r="J1540" s="87">
        <v>10.748366564432821</v>
      </c>
      <c r="K1540" s="87">
        <v>14.654737021144712</v>
      </c>
    </row>
    <row r="1541" spans="9:11" x14ac:dyDescent="0.25">
      <c r="I1541" s="86">
        <v>1540</v>
      </c>
      <c r="J1541" s="87">
        <v>-8.4881477238580416E-2</v>
      </c>
      <c r="K1541" s="87">
        <v>4.9510098720820235</v>
      </c>
    </row>
    <row r="1542" spans="9:11" x14ac:dyDescent="0.25">
      <c r="I1542" s="86">
        <v>1541</v>
      </c>
      <c r="J1542" s="87">
        <v>-0.18431028553243145</v>
      </c>
      <c r="K1542" s="87">
        <v>4.3190963129133548</v>
      </c>
    </row>
    <row r="1543" spans="9:11" x14ac:dyDescent="0.25">
      <c r="I1543" s="86">
        <v>1542</v>
      </c>
      <c r="J1543" s="87">
        <v>0.4920746889127301</v>
      </c>
      <c r="K1543" s="87">
        <v>6.6767034841988782</v>
      </c>
    </row>
    <row r="1544" spans="9:11" x14ac:dyDescent="0.25">
      <c r="I1544" s="86">
        <v>1543</v>
      </c>
      <c r="J1544" s="87">
        <v>-0.93435847355022528</v>
      </c>
      <c r="K1544" s="87">
        <v>5.0367297135820213</v>
      </c>
    </row>
    <row r="1545" spans="9:11" x14ac:dyDescent="0.25">
      <c r="I1545" s="86">
        <v>1544</v>
      </c>
      <c r="J1545" s="87">
        <v>0.42818970124563416</v>
      </c>
      <c r="K1545" s="87">
        <v>4.6991444469412862</v>
      </c>
    </row>
    <row r="1546" spans="9:11" x14ac:dyDescent="0.25">
      <c r="I1546" s="86">
        <v>1545</v>
      </c>
      <c r="J1546" s="87">
        <v>5.8590632135881791</v>
      </c>
      <c r="K1546" s="87">
        <v>9.8462163730471577</v>
      </c>
    </row>
    <row r="1547" spans="9:11" x14ac:dyDescent="0.25">
      <c r="I1547" s="86">
        <v>1546</v>
      </c>
      <c r="J1547" s="87">
        <v>0.26410761625557155</v>
      </c>
      <c r="K1547" s="87">
        <v>4.5959312755942712</v>
      </c>
    </row>
    <row r="1548" spans="9:11" x14ac:dyDescent="0.25">
      <c r="I1548" s="86">
        <v>1547</v>
      </c>
      <c r="J1548" s="87">
        <v>7.885211997366838</v>
      </c>
      <c r="K1548" s="87">
        <v>9.9841855478245556</v>
      </c>
    </row>
    <row r="1549" spans="9:11" x14ac:dyDescent="0.25">
      <c r="I1549" s="86">
        <v>1548</v>
      </c>
      <c r="J1549" s="87">
        <v>3.7643650688781189</v>
      </c>
      <c r="K1549" s="87">
        <v>9.7741962543586087</v>
      </c>
    </row>
    <row r="1550" spans="9:11" x14ac:dyDescent="0.25">
      <c r="I1550" s="86">
        <v>1549</v>
      </c>
      <c r="J1550" s="87">
        <v>-0.96178267271755047</v>
      </c>
      <c r="K1550" s="87">
        <v>7.1828339646040584</v>
      </c>
    </row>
    <row r="1551" spans="9:11" x14ac:dyDescent="0.25">
      <c r="I1551" s="86">
        <v>1550</v>
      </c>
      <c r="J1551" s="87">
        <v>-0.84216939277310576</v>
      </c>
      <c r="K1551" s="87">
        <v>6.2041679865524175</v>
      </c>
    </row>
    <row r="1552" spans="9:11" x14ac:dyDescent="0.25">
      <c r="I1552" s="86">
        <v>1551</v>
      </c>
      <c r="J1552" s="87">
        <v>-0.3700322436885104</v>
      </c>
      <c r="K1552" s="87">
        <v>5.3365258134144353</v>
      </c>
    </row>
    <row r="1553" spans="9:11" x14ac:dyDescent="0.25">
      <c r="I1553" s="86">
        <v>1552</v>
      </c>
      <c r="J1553" s="87">
        <v>3.745558591642169</v>
      </c>
      <c r="K1553" s="87">
        <v>8.3574667457410996</v>
      </c>
    </row>
    <row r="1554" spans="9:11" x14ac:dyDescent="0.25">
      <c r="I1554" s="86">
        <v>1553</v>
      </c>
      <c r="J1554" s="87">
        <v>2.4904987809941774</v>
      </c>
      <c r="K1554" s="87">
        <v>8.277925733751168</v>
      </c>
    </row>
    <row r="1555" spans="9:11" x14ac:dyDescent="0.25">
      <c r="I1555" s="86">
        <v>1554</v>
      </c>
      <c r="J1555" s="87">
        <v>-0.48273547469066447</v>
      </c>
      <c r="K1555" s="87">
        <v>4.8994356233571432</v>
      </c>
    </row>
    <row r="1556" spans="9:11" x14ac:dyDescent="0.25">
      <c r="I1556" s="86">
        <v>1555</v>
      </c>
      <c r="J1556" s="87">
        <v>3.8138229482117021</v>
      </c>
      <c r="K1556" s="87">
        <v>9.1996383559195163</v>
      </c>
    </row>
    <row r="1557" spans="9:11" x14ac:dyDescent="0.25">
      <c r="I1557" s="86">
        <v>1556</v>
      </c>
      <c r="J1557" s="87">
        <v>1.3424740751236799</v>
      </c>
      <c r="K1557" s="87">
        <v>5.2117343486035503</v>
      </c>
    </row>
    <row r="1558" spans="9:11" x14ac:dyDescent="0.25">
      <c r="I1558" s="86">
        <v>1557</v>
      </c>
      <c r="J1558" s="87">
        <v>0.39024382470593366</v>
      </c>
      <c r="K1558" s="87">
        <v>6.4987384458652127</v>
      </c>
    </row>
    <row r="1559" spans="9:11" x14ac:dyDescent="0.25">
      <c r="I1559" s="86">
        <v>1558</v>
      </c>
      <c r="J1559" s="87">
        <v>1.5376758015159835</v>
      </c>
      <c r="K1559" s="87">
        <v>5.0680347356087534</v>
      </c>
    </row>
    <row r="1560" spans="9:11" x14ac:dyDescent="0.25">
      <c r="I1560" s="86">
        <v>1559</v>
      </c>
      <c r="J1560" s="87">
        <v>2.3251760888480488</v>
      </c>
      <c r="K1560" s="87">
        <v>6.6098424466897399</v>
      </c>
    </row>
    <row r="1561" spans="9:11" x14ac:dyDescent="0.25">
      <c r="I1561" s="86">
        <v>1560</v>
      </c>
      <c r="J1561" s="87">
        <v>1.6792023931201561</v>
      </c>
      <c r="K1561" s="87">
        <v>10.13516937957009</v>
      </c>
    </row>
    <row r="1562" spans="9:11" x14ac:dyDescent="0.25">
      <c r="I1562" s="86">
        <v>1561</v>
      </c>
      <c r="J1562" s="87">
        <v>2.803018777402837</v>
      </c>
      <c r="K1562" s="87">
        <v>7.0525614172849629</v>
      </c>
    </row>
    <row r="1563" spans="9:11" x14ac:dyDescent="0.25">
      <c r="I1563" s="86">
        <v>1562</v>
      </c>
      <c r="J1563" s="87">
        <v>0.36766141634287752</v>
      </c>
      <c r="K1563" s="87">
        <v>5.5269163597493796</v>
      </c>
    </row>
    <row r="1564" spans="9:11" x14ac:dyDescent="0.25">
      <c r="I1564" s="86">
        <v>1563</v>
      </c>
      <c r="J1564" s="87">
        <v>1.6046147725847497</v>
      </c>
      <c r="K1564" s="87">
        <v>5.6316974800993478</v>
      </c>
    </row>
    <row r="1565" spans="9:11" x14ac:dyDescent="0.25">
      <c r="I1565" s="86">
        <v>1564</v>
      </c>
      <c r="J1565" s="87">
        <v>0.71095126830318556</v>
      </c>
      <c r="K1565" s="87">
        <v>8.3414523089104637</v>
      </c>
    </row>
    <row r="1566" spans="9:11" x14ac:dyDescent="0.25">
      <c r="I1566" s="86">
        <v>1565</v>
      </c>
      <c r="J1566" s="87">
        <v>1.8989236186998921</v>
      </c>
      <c r="K1566" s="87">
        <v>5.315093812084454</v>
      </c>
    </row>
    <row r="1567" spans="9:11" x14ac:dyDescent="0.25">
      <c r="I1567" s="86">
        <v>1566</v>
      </c>
      <c r="J1567" s="87">
        <v>1.7724457760613817</v>
      </c>
      <c r="K1567" s="87">
        <v>4.9454157992366303</v>
      </c>
    </row>
    <row r="1568" spans="9:11" x14ac:dyDescent="0.25">
      <c r="I1568" s="86">
        <v>1567</v>
      </c>
      <c r="J1568" s="87">
        <v>-1.0772921428304549</v>
      </c>
      <c r="K1568" s="87">
        <v>4.480734344469222</v>
      </c>
    </row>
    <row r="1569" spans="9:11" x14ac:dyDescent="0.25">
      <c r="I1569" s="86">
        <v>1568</v>
      </c>
      <c r="J1569" s="87">
        <v>3.009807621303362</v>
      </c>
      <c r="K1569" s="87">
        <v>9.2716183438376234</v>
      </c>
    </row>
    <row r="1570" spans="9:11" x14ac:dyDescent="0.25">
      <c r="I1570" s="86">
        <v>1569</v>
      </c>
      <c r="J1570" s="87">
        <v>1.7892556246406044</v>
      </c>
      <c r="K1570" s="87">
        <v>5.2978623781615655</v>
      </c>
    </row>
    <row r="1571" spans="9:11" x14ac:dyDescent="0.25">
      <c r="I1571" s="86">
        <v>1570</v>
      </c>
      <c r="J1571" s="87">
        <v>2.1893580221712838E-2</v>
      </c>
      <c r="K1571" s="87">
        <v>6.1431382032105155</v>
      </c>
    </row>
    <row r="1572" spans="9:11" x14ac:dyDescent="0.25">
      <c r="I1572" s="86">
        <v>1571</v>
      </c>
      <c r="J1572" s="87">
        <v>3.4124896220211145</v>
      </c>
      <c r="K1572" s="87">
        <v>7.6287354978205686</v>
      </c>
    </row>
    <row r="1573" spans="9:11" x14ac:dyDescent="0.25">
      <c r="I1573" s="86">
        <v>1572</v>
      </c>
      <c r="J1573" s="87">
        <v>4.4973826985251026</v>
      </c>
      <c r="K1573" s="87">
        <v>8.0308854911803866</v>
      </c>
    </row>
    <row r="1574" spans="9:11" x14ac:dyDescent="0.25">
      <c r="I1574" s="86">
        <v>1573</v>
      </c>
      <c r="J1574" s="87">
        <v>0.26333037126978542</v>
      </c>
      <c r="K1574" s="87">
        <v>5.75818711806581</v>
      </c>
    </row>
    <row r="1575" spans="9:11" x14ac:dyDescent="0.25">
      <c r="I1575" s="86">
        <v>1574</v>
      </c>
      <c r="J1575" s="87">
        <v>2.9642130611059372</v>
      </c>
      <c r="K1575" s="87">
        <v>9.5222181375984007</v>
      </c>
    </row>
    <row r="1576" spans="9:11" x14ac:dyDescent="0.25">
      <c r="I1576" s="86">
        <v>1575</v>
      </c>
      <c r="J1576" s="87">
        <v>1.80440274091338</v>
      </c>
      <c r="K1576" s="87">
        <v>7.7004785527764144</v>
      </c>
    </row>
    <row r="1577" spans="9:11" x14ac:dyDescent="0.25">
      <c r="I1577" s="86">
        <v>1576</v>
      </c>
      <c r="J1577" s="87">
        <v>2.0885560960110645</v>
      </c>
      <c r="K1577" s="87">
        <v>6.6755050319356801</v>
      </c>
    </row>
    <row r="1578" spans="9:11" x14ac:dyDescent="0.25">
      <c r="I1578" s="86">
        <v>1577</v>
      </c>
      <c r="J1578" s="87">
        <v>-1.4304282355860765</v>
      </c>
      <c r="K1578" s="87">
        <v>4.6796827107894448</v>
      </c>
    </row>
    <row r="1579" spans="9:11" x14ac:dyDescent="0.25">
      <c r="I1579" s="86">
        <v>1578</v>
      </c>
      <c r="J1579" s="87">
        <v>2.815781365898224</v>
      </c>
      <c r="K1579" s="87">
        <v>6.9485970313718042</v>
      </c>
    </row>
    <row r="1580" spans="9:11" x14ac:dyDescent="0.25">
      <c r="I1580" s="86">
        <v>1579</v>
      </c>
      <c r="J1580" s="87">
        <v>2.0787901915178884</v>
      </c>
      <c r="K1580" s="87">
        <v>8.0918717217372951</v>
      </c>
    </row>
    <row r="1581" spans="9:11" x14ac:dyDescent="0.25">
      <c r="I1581" s="86">
        <v>1580</v>
      </c>
      <c r="J1581" s="87">
        <v>2.3723347797347039</v>
      </c>
      <c r="K1581" s="87">
        <v>7.9216870098570356</v>
      </c>
    </row>
    <row r="1582" spans="9:11" x14ac:dyDescent="0.25">
      <c r="I1582" s="86">
        <v>1581</v>
      </c>
      <c r="J1582" s="87">
        <v>0.93241236258389604</v>
      </c>
      <c r="K1582" s="87">
        <v>5.1664229983414263</v>
      </c>
    </row>
    <row r="1583" spans="9:11" x14ac:dyDescent="0.25">
      <c r="I1583" s="86">
        <v>1582</v>
      </c>
      <c r="J1583" s="87">
        <v>3.6190671963794738</v>
      </c>
      <c r="K1583" s="87">
        <v>7.0833991004330406</v>
      </c>
    </row>
    <row r="1584" spans="9:11" x14ac:dyDescent="0.25">
      <c r="I1584" s="86">
        <v>1583</v>
      </c>
      <c r="J1584" s="87">
        <v>1.7642870958647165</v>
      </c>
      <c r="K1584" s="87">
        <v>7.456640156484692</v>
      </c>
    </row>
    <row r="1585" spans="9:11" x14ac:dyDescent="0.25">
      <c r="I1585" s="86">
        <v>1584</v>
      </c>
      <c r="J1585" s="87">
        <v>2.0448918419422251</v>
      </c>
      <c r="K1585" s="87">
        <v>5.9848634470952975</v>
      </c>
    </row>
    <row r="1586" spans="9:11" x14ac:dyDescent="0.25">
      <c r="I1586" s="86">
        <v>1585</v>
      </c>
      <c r="J1586" s="87">
        <v>0.55258579605513969</v>
      </c>
      <c r="K1586" s="87">
        <v>7.9527340975360126</v>
      </c>
    </row>
    <row r="1587" spans="9:11" x14ac:dyDescent="0.25">
      <c r="I1587" s="86">
        <v>1586</v>
      </c>
      <c r="J1587" s="87">
        <v>1.0879166366464954</v>
      </c>
      <c r="K1587" s="87">
        <v>6.7882980924478034</v>
      </c>
    </row>
    <row r="1588" spans="9:11" x14ac:dyDescent="0.25">
      <c r="I1588" s="86">
        <v>1587</v>
      </c>
      <c r="J1588" s="87">
        <v>1.6276867363294176</v>
      </c>
      <c r="K1588" s="87">
        <v>7.265061887283851</v>
      </c>
    </row>
    <row r="1589" spans="9:11" x14ac:dyDescent="0.25">
      <c r="I1589" s="86">
        <v>1588</v>
      </c>
      <c r="J1589" s="87">
        <v>8.526249227169048</v>
      </c>
      <c r="K1589" s="87">
        <v>13.249905812455415</v>
      </c>
    </row>
    <row r="1590" spans="9:11" x14ac:dyDescent="0.25">
      <c r="I1590" s="86">
        <v>1589</v>
      </c>
      <c r="J1590" s="87">
        <v>0.77405778899173106</v>
      </c>
      <c r="K1590" s="87">
        <v>5.7642303554828134</v>
      </c>
    </row>
    <row r="1591" spans="9:11" x14ac:dyDescent="0.25">
      <c r="I1591" s="86">
        <v>1590</v>
      </c>
      <c r="J1591" s="87">
        <v>-0.2291442147592937</v>
      </c>
      <c r="K1591" s="87">
        <v>5.1162325141939338</v>
      </c>
    </row>
    <row r="1592" spans="9:11" x14ac:dyDescent="0.25">
      <c r="I1592" s="86">
        <v>1591</v>
      </c>
      <c r="J1592" s="87">
        <v>1.6665840161351539</v>
      </c>
      <c r="K1592" s="87">
        <v>5.7924583302049681</v>
      </c>
    </row>
    <row r="1593" spans="9:11" x14ac:dyDescent="0.25">
      <c r="I1593" s="86">
        <v>1592</v>
      </c>
      <c r="J1593" s="87">
        <v>9.8901301958804275</v>
      </c>
      <c r="K1593" s="87">
        <v>11.170045359115321</v>
      </c>
    </row>
    <row r="1594" spans="9:11" x14ac:dyDescent="0.25">
      <c r="I1594" s="86">
        <v>1593</v>
      </c>
      <c r="J1594" s="87">
        <v>2.7646479496300236</v>
      </c>
      <c r="K1594" s="87">
        <v>8.5489911567130843</v>
      </c>
    </row>
    <row r="1595" spans="9:11" x14ac:dyDescent="0.25">
      <c r="I1595" s="86">
        <v>1594</v>
      </c>
      <c r="J1595" s="87">
        <v>1.450508039479784</v>
      </c>
      <c r="K1595" s="87">
        <v>6.6805145248988982</v>
      </c>
    </row>
    <row r="1596" spans="9:11" x14ac:dyDescent="0.25">
      <c r="I1596" s="86">
        <v>1595</v>
      </c>
      <c r="J1596" s="87">
        <v>0.86380222646659721</v>
      </c>
      <c r="K1596" s="87">
        <v>7.1548024538034509</v>
      </c>
    </row>
    <row r="1597" spans="9:11" x14ac:dyDescent="0.25">
      <c r="I1597" s="86">
        <v>1596</v>
      </c>
      <c r="J1597" s="87">
        <v>2.0649558755628012</v>
      </c>
      <c r="K1597" s="87">
        <v>8.4795729812503176</v>
      </c>
    </row>
    <row r="1598" spans="9:11" x14ac:dyDescent="0.25">
      <c r="I1598" s="86">
        <v>1597</v>
      </c>
      <c r="J1598" s="87">
        <v>1.7430485595086123</v>
      </c>
      <c r="K1598" s="87">
        <v>5.5301116072731329</v>
      </c>
    </row>
    <row r="1599" spans="9:11" x14ac:dyDescent="0.25">
      <c r="I1599" s="86">
        <v>1598</v>
      </c>
      <c r="J1599" s="87">
        <v>-0.99194332530256002</v>
      </c>
      <c r="K1599" s="87">
        <v>5.4015966776657569</v>
      </c>
    </row>
    <row r="1600" spans="9:11" x14ac:dyDescent="0.25">
      <c r="I1600" s="86">
        <v>1599</v>
      </c>
      <c r="J1600" s="87">
        <v>3.2964233176262034</v>
      </c>
      <c r="K1600" s="87">
        <v>7.4109443294900341</v>
      </c>
    </row>
    <row r="1601" spans="9:11" x14ac:dyDescent="0.25">
      <c r="I1601" s="86">
        <v>1600</v>
      </c>
      <c r="J1601" s="87">
        <v>-2.136139303357961</v>
      </c>
      <c r="K1601" s="87">
        <v>4.2140065498692181</v>
      </c>
    </row>
    <row r="1602" spans="9:11" x14ac:dyDescent="0.25">
      <c r="I1602" s="86">
        <v>1601</v>
      </c>
      <c r="J1602" s="87">
        <v>4.9290038297834382</v>
      </c>
      <c r="K1602" s="87">
        <v>9.4780700167062246</v>
      </c>
    </row>
    <row r="1603" spans="9:11" x14ac:dyDescent="0.25">
      <c r="I1603" s="86">
        <v>1602</v>
      </c>
      <c r="J1603" s="87">
        <v>-0.1894948654706301</v>
      </c>
      <c r="K1603" s="87">
        <v>6.3857002172849242</v>
      </c>
    </row>
    <row r="1604" spans="9:11" x14ac:dyDescent="0.25">
      <c r="I1604" s="86">
        <v>1603</v>
      </c>
      <c r="J1604" s="87">
        <v>2.4391412015580167</v>
      </c>
      <c r="K1604" s="87">
        <v>5.1070361219144624</v>
      </c>
    </row>
    <row r="1605" spans="9:11" x14ac:dyDescent="0.25">
      <c r="I1605" s="86">
        <v>1604</v>
      </c>
      <c r="J1605" s="87">
        <v>0.89288035694781076</v>
      </c>
      <c r="K1605" s="87">
        <v>7.0665235114308382</v>
      </c>
    </row>
    <row r="1606" spans="9:11" x14ac:dyDescent="0.25">
      <c r="I1606" s="86">
        <v>1605</v>
      </c>
      <c r="J1606" s="87">
        <v>0.11118114356467679</v>
      </c>
      <c r="K1606" s="87">
        <v>6.6356141269523095</v>
      </c>
    </row>
    <row r="1607" spans="9:11" x14ac:dyDescent="0.25">
      <c r="I1607" s="86">
        <v>1606</v>
      </c>
      <c r="J1607" s="87">
        <v>1.2376360901137566</v>
      </c>
      <c r="K1607" s="87">
        <v>4.5888956354554109</v>
      </c>
    </row>
    <row r="1608" spans="9:11" x14ac:dyDescent="0.25">
      <c r="I1608" s="86">
        <v>1607</v>
      </c>
      <c r="J1608" s="87">
        <v>2.8140059884822337</v>
      </c>
      <c r="K1608" s="87">
        <v>6.7392162563171798</v>
      </c>
    </row>
    <row r="1609" spans="9:11" x14ac:dyDescent="0.25">
      <c r="I1609" s="86">
        <v>1608</v>
      </c>
      <c r="J1609" s="87">
        <v>5.2304534979501582</v>
      </c>
      <c r="K1609" s="87">
        <v>9.4906269855963394</v>
      </c>
    </row>
    <row r="1610" spans="9:11" x14ac:dyDescent="0.25">
      <c r="I1610" s="86">
        <v>1609</v>
      </c>
      <c r="J1610" s="87">
        <v>5.1115988638390846</v>
      </c>
      <c r="K1610" s="87">
        <v>8.6274652977570661</v>
      </c>
    </row>
    <row r="1611" spans="9:11" x14ac:dyDescent="0.25">
      <c r="I1611" s="86">
        <v>1610</v>
      </c>
      <c r="J1611" s="87">
        <v>1.9498084554423434</v>
      </c>
      <c r="K1611" s="87">
        <v>6.5933259565967495</v>
      </c>
    </row>
    <row r="1612" spans="9:11" x14ac:dyDescent="0.25">
      <c r="I1612" s="86">
        <v>1611</v>
      </c>
      <c r="J1612" s="87">
        <v>1.7483485245867048</v>
      </c>
      <c r="K1612" s="87">
        <v>8.406779977626881</v>
      </c>
    </row>
    <row r="1613" spans="9:11" x14ac:dyDescent="0.25">
      <c r="I1613" s="86">
        <v>1612</v>
      </c>
      <c r="J1613" s="87">
        <v>2.1776963502247675</v>
      </c>
      <c r="K1613" s="87">
        <v>7.4288252764298948</v>
      </c>
    </row>
    <row r="1614" spans="9:11" x14ac:dyDescent="0.25">
      <c r="I1614" s="86">
        <v>1613</v>
      </c>
      <c r="J1614" s="87">
        <v>-0.68218606695203032</v>
      </c>
      <c r="K1614" s="87">
        <v>6.0475404543703588</v>
      </c>
    </row>
    <row r="1615" spans="9:11" x14ac:dyDescent="0.25">
      <c r="I1615" s="86">
        <v>1614</v>
      </c>
      <c r="J1615" s="87">
        <v>1.8180993331733686</v>
      </c>
      <c r="K1615" s="87">
        <v>5.9677396053234197</v>
      </c>
    </row>
    <row r="1616" spans="9:11" x14ac:dyDescent="0.25">
      <c r="I1616" s="86">
        <v>1615</v>
      </c>
      <c r="J1616" s="87">
        <v>4.4827170829310994</v>
      </c>
      <c r="K1616" s="87">
        <v>10.653874495007441</v>
      </c>
    </row>
    <row r="1617" spans="9:11" x14ac:dyDescent="0.25">
      <c r="I1617" s="86">
        <v>1616</v>
      </c>
      <c r="J1617" s="87">
        <v>1.6430527826261168</v>
      </c>
      <c r="K1617" s="87">
        <v>7.7663330094806611</v>
      </c>
    </row>
    <row r="1618" spans="9:11" x14ac:dyDescent="0.25">
      <c r="I1618" s="86">
        <v>1617</v>
      </c>
      <c r="J1618" s="87">
        <v>0.22707140551797966</v>
      </c>
      <c r="K1618" s="87">
        <v>5.5988466161114969</v>
      </c>
    </row>
    <row r="1619" spans="9:11" x14ac:dyDescent="0.25">
      <c r="I1619" s="86">
        <v>1618</v>
      </c>
      <c r="J1619" s="87">
        <v>1.9358897485266509</v>
      </c>
      <c r="K1619" s="87">
        <v>7.1468204747924808</v>
      </c>
    </row>
    <row r="1620" spans="9:11" x14ac:dyDescent="0.25">
      <c r="I1620" s="86">
        <v>1619</v>
      </c>
      <c r="J1620" s="87">
        <v>1.0291219065139616</v>
      </c>
      <c r="K1620" s="87">
        <v>8.0509378588074227</v>
      </c>
    </row>
    <row r="1621" spans="9:11" x14ac:dyDescent="0.25">
      <c r="I1621" s="86">
        <v>1620</v>
      </c>
      <c r="J1621" s="87">
        <v>0.85896274224303459</v>
      </c>
      <c r="K1621" s="87">
        <v>5.8316501593588885</v>
      </c>
    </row>
    <row r="1622" spans="9:11" x14ac:dyDescent="0.25">
      <c r="I1622" s="86">
        <v>1621</v>
      </c>
      <c r="J1622" s="87">
        <v>0.41622916706894131</v>
      </c>
      <c r="K1622" s="87">
        <v>6.0758302115472782</v>
      </c>
    </row>
    <row r="1623" spans="9:11" x14ac:dyDescent="0.25">
      <c r="I1623" s="86">
        <v>1622</v>
      </c>
      <c r="J1623" s="87">
        <v>0.44019032803735403</v>
      </c>
      <c r="K1623" s="87">
        <v>5.4849764362963205</v>
      </c>
    </row>
    <row r="1624" spans="9:11" x14ac:dyDescent="0.25">
      <c r="I1624" s="86">
        <v>1623</v>
      </c>
      <c r="J1624" s="87">
        <v>2.4867002958026267</v>
      </c>
      <c r="K1624" s="87">
        <v>6.0496255090476874</v>
      </c>
    </row>
    <row r="1625" spans="9:11" x14ac:dyDescent="0.25">
      <c r="I1625" s="86">
        <v>1624</v>
      </c>
      <c r="J1625" s="87">
        <v>0.8149889645694639</v>
      </c>
      <c r="K1625" s="87">
        <v>5.7572518877471914</v>
      </c>
    </row>
    <row r="1626" spans="9:11" x14ac:dyDescent="0.25">
      <c r="I1626" s="86">
        <v>1625</v>
      </c>
      <c r="J1626" s="87">
        <v>1.9473003671681841</v>
      </c>
      <c r="K1626" s="87">
        <v>7.5438465619330533</v>
      </c>
    </row>
    <row r="1627" spans="9:11" x14ac:dyDescent="0.25">
      <c r="I1627" s="86">
        <v>1626</v>
      </c>
      <c r="J1627" s="87">
        <v>1.275298694101886</v>
      </c>
      <c r="K1627" s="87">
        <v>6.2780949314335697</v>
      </c>
    </row>
    <row r="1628" spans="9:11" x14ac:dyDescent="0.25">
      <c r="I1628" s="86">
        <v>1627</v>
      </c>
      <c r="J1628" s="87">
        <v>-2.1775543727375681</v>
      </c>
      <c r="K1628" s="87">
        <v>4.1318629496817882</v>
      </c>
    </row>
    <row r="1629" spans="9:11" x14ac:dyDescent="0.25">
      <c r="I1629" s="86">
        <v>1628</v>
      </c>
      <c r="J1629" s="87">
        <v>4.2191724292479389</v>
      </c>
      <c r="K1629" s="87">
        <v>9.0767230480909831</v>
      </c>
    </row>
    <row r="1630" spans="9:11" x14ac:dyDescent="0.25">
      <c r="I1630" s="86">
        <v>1629</v>
      </c>
      <c r="J1630" s="87">
        <v>-0.59192966628636245</v>
      </c>
      <c r="K1630" s="87">
        <v>4.8588765568352335</v>
      </c>
    </row>
    <row r="1631" spans="9:11" x14ac:dyDescent="0.25">
      <c r="I1631" s="86">
        <v>1630</v>
      </c>
      <c r="J1631" s="87">
        <v>-0.25290949958091469</v>
      </c>
      <c r="K1631" s="87">
        <v>3.8808319605401222</v>
      </c>
    </row>
    <row r="1632" spans="9:11" x14ac:dyDescent="0.25">
      <c r="I1632" s="86">
        <v>1631</v>
      </c>
      <c r="J1632" s="87">
        <v>2.1020351048088779</v>
      </c>
      <c r="K1632" s="87">
        <v>7.8727437658413777</v>
      </c>
    </row>
    <row r="1633" spans="9:11" x14ac:dyDescent="0.25">
      <c r="I1633" s="86">
        <v>1632</v>
      </c>
      <c r="J1633" s="87">
        <v>2.5275210877411092</v>
      </c>
      <c r="K1633" s="87">
        <v>5.7389169970151146</v>
      </c>
    </row>
    <row r="1634" spans="9:11" x14ac:dyDescent="0.25">
      <c r="I1634" s="86">
        <v>1633</v>
      </c>
      <c r="J1634" s="87">
        <v>1.676368818358184</v>
      </c>
      <c r="K1634" s="87">
        <v>7.7039019418279508</v>
      </c>
    </row>
    <row r="1635" spans="9:11" x14ac:dyDescent="0.25">
      <c r="I1635" s="86">
        <v>1634</v>
      </c>
      <c r="J1635" s="87">
        <v>-0.91991446719719772</v>
      </c>
      <c r="K1635" s="87">
        <v>5.4786285121691565</v>
      </c>
    </row>
    <row r="1636" spans="9:11" x14ac:dyDescent="0.25">
      <c r="I1636" s="86">
        <v>1635</v>
      </c>
      <c r="J1636" s="87">
        <v>-1.4720053672949645</v>
      </c>
      <c r="K1636" s="87">
        <v>5.5444468604432267</v>
      </c>
    </row>
    <row r="1637" spans="9:11" x14ac:dyDescent="0.25">
      <c r="I1637" s="86">
        <v>1636</v>
      </c>
      <c r="J1637" s="87">
        <v>0.52457453832034018</v>
      </c>
      <c r="K1637" s="87">
        <v>5.0548743544360999</v>
      </c>
    </row>
    <row r="1638" spans="9:11" x14ac:dyDescent="0.25">
      <c r="I1638" s="86">
        <v>1637</v>
      </c>
      <c r="J1638" s="87">
        <v>2.4803483525839578</v>
      </c>
      <c r="K1638" s="87">
        <v>8.0413521027282151</v>
      </c>
    </row>
    <row r="1639" spans="9:11" x14ac:dyDescent="0.25">
      <c r="I1639" s="86">
        <v>1638</v>
      </c>
      <c r="J1639" s="87">
        <v>-0.56141803466781326</v>
      </c>
      <c r="K1639" s="87">
        <v>4.5457829380105235</v>
      </c>
    </row>
    <row r="1640" spans="9:11" x14ac:dyDescent="0.25">
      <c r="I1640" s="86">
        <v>1639</v>
      </c>
      <c r="J1640" s="87">
        <v>-1.6254239955407481</v>
      </c>
      <c r="K1640" s="87">
        <v>5.6925636846828818</v>
      </c>
    </row>
    <row r="1641" spans="9:11" x14ac:dyDescent="0.25">
      <c r="I1641" s="86">
        <v>1640</v>
      </c>
      <c r="J1641" s="87">
        <v>3.5294385502711307</v>
      </c>
      <c r="K1641" s="87">
        <v>10.910011108071453</v>
      </c>
    </row>
    <row r="1642" spans="9:11" x14ac:dyDescent="0.25">
      <c r="I1642" s="86">
        <v>1641</v>
      </c>
      <c r="J1642" s="87">
        <v>3.0063934150801357</v>
      </c>
      <c r="K1642" s="87">
        <v>7.3288119000338572</v>
      </c>
    </row>
    <row r="1643" spans="9:11" x14ac:dyDescent="0.25">
      <c r="I1643" s="86">
        <v>1642</v>
      </c>
      <c r="J1643" s="87">
        <v>1.5286583708398913</v>
      </c>
      <c r="K1643" s="87">
        <v>7.5612295181066864</v>
      </c>
    </row>
    <row r="1644" spans="9:11" x14ac:dyDescent="0.25">
      <c r="I1644" s="86">
        <v>1643</v>
      </c>
      <c r="J1644" s="87">
        <v>1.54454663307967</v>
      </c>
      <c r="K1644" s="87">
        <v>6.0670197622004789</v>
      </c>
    </row>
    <row r="1645" spans="9:11" x14ac:dyDescent="0.25">
      <c r="I1645" s="86">
        <v>1644</v>
      </c>
      <c r="J1645" s="87">
        <v>9.2738008777917873</v>
      </c>
      <c r="K1645" s="87">
        <v>10.582837488286399</v>
      </c>
    </row>
    <row r="1646" spans="9:11" x14ac:dyDescent="0.25">
      <c r="I1646" s="86">
        <v>1645</v>
      </c>
      <c r="J1646" s="87">
        <v>1.6829569436932985</v>
      </c>
      <c r="K1646" s="87">
        <v>8.1460183229051317</v>
      </c>
    </row>
    <row r="1647" spans="9:11" x14ac:dyDescent="0.25">
      <c r="I1647" s="86">
        <v>1646</v>
      </c>
      <c r="J1647" s="87">
        <v>-2.3410636940152107</v>
      </c>
      <c r="K1647" s="87">
        <v>4.8718362978098977</v>
      </c>
    </row>
    <row r="1648" spans="9:11" x14ac:dyDescent="0.25">
      <c r="I1648" s="86">
        <v>1647</v>
      </c>
      <c r="J1648" s="87">
        <v>3.0598473260985859</v>
      </c>
      <c r="K1648" s="87">
        <v>6.895707886639399</v>
      </c>
    </row>
    <row r="1649" spans="9:11" x14ac:dyDescent="0.25">
      <c r="I1649" s="86">
        <v>1648</v>
      </c>
      <c r="J1649" s="87">
        <v>4.5556722418114148E-3</v>
      </c>
      <c r="K1649" s="87">
        <v>5.8355262748064449</v>
      </c>
    </row>
    <row r="1650" spans="9:11" x14ac:dyDescent="0.25">
      <c r="I1650" s="86">
        <v>1649</v>
      </c>
      <c r="J1650" s="87">
        <v>1.8752425756099882</v>
      </c>
      <c r="K1650" s="87">
        <v>7.1569522646169101</v>
      </c>
    </row>
    <row r="1651" spans="9:11" x14ac:dyDescent="0.25">
      <c r="I1651" s="86">
        <v>1650</v>
      </c>
      <c r="J1651" s="87">
        <v>1.346024805534106</v>
      </c>
      <c r="K1651" s="87">
        <v>8.5153385422575418</v>
      </c>
    </row>
    <row r="1652" spans="9:11" x14ac:dyDescent="0.25">
      <c r="I1652" s="86">
        <v>1651</v>
      </c>
      <c r="J1652" s="87">
        <v>3.3608725385137328</v>
      </c>
      <c r="K1652" s="87">
        <v>6.6467245553651813</v>
      </c>
    </row>
    <row r="1653" spans="9:11" x14ac:dyDescent="0.25">
      <c r="I1653" s="86">
        <v>1652</v>
      </c>
      <c r="J1653" s="87">
        <v>1.3849810882239302</v>
      </c>
      <c r="K1653" s="87">
        <v>7.184111782406462</v>
      </c>
    </row>
    <row r="1654" spans="9:11" x14ac:dyDescent="0.25">
      <c r="I1654" s="86">
        <v>1653</v>
      </c>
      <c r="J1654" s="87">
        <v>1.9740522627806598</v>
      </c>
      <c r="K1654" s="87">
        <v>6.7853584530422646</v>
      </c>
    </row>
    <row r="1655" spans="9:11" x14ac:dyDescent="0.25">
      <c r="I1655" s="86">
        <v>1654</v>
      </c>
      <c r="J1655" s="87">
        <v>12.22486257169861</v>
      </c>
      <c r="K1655" s="87">
        <v>13.057640856093082</v>
      </c>
    </row>
    <row r="1656" spans="9:11" x14ac:dyDescent="0.25">
      <c r="I1656" s="86">
        <v>1655</v>
      </c>
      <c r="J1656" s="87">
        <v>2.6977032456287162</v>
      </c>
      <c r="K1656" s="87">
        <v>7.9365262512937074</v>
      </c>
    </row>
    <row r="1657" spans="9:11" x14ac:dyDescent="0.25">
      <c r="I1657" s="86">
        <v>1656</v>
      </c>
      <c r="J1657" s="87">
        <v>1.3385364868614067</v>
      </c>
      <c r="K1657" s="87">
        <v>7.7776322188652074</v>
      </c>
    </row>
    <row r="1658" spans="9:11" x14ac:dyDescent="0.25">
      <c r="I1658" s="86">
        <v>1657</v>
      </c>
      <c r="J1658" s="87">
        <v>1.2393117590901017</v>
      </c>
      <c r="K1658" s="87">
        <v>8.018538538071903</v>
      </c>
    </row>
    <row r="1659" spans="9:11" x14ac:dyDescent="0.25">
      <c r="I1659" s="86">
        <v>1658</v>
      </c>
      <c r="J1659" s="87">
        <v>5.4656866785513607</v>
      </c>
      <c r="K1659" s="87">
        <v>9.0749131119258326</v>
      </c>
    </row>
    <row r="1660" spans="9:11" x14ac:dyDescent="0.25">
      <c r="I1660" s="86">
        <v>1659</v>
      </c>
      <c r="J1660" s="87">
        <v>3.9852259902944116</v>
      </c>
      <c r="K1660" s="87">
        <v>9.4353407994415388</v>
      </c>
    </row>
    <row r="1661" spans="9:11" x14ac:dyDescent="0.25">
      <c r="I1661" s="86">
        <v>1660</v>
      </c>
      <c r="J1661" s="87">
        <v>1.4584673156487975</v>
      </c>
      <c r="K1661" s="87">
        <v>6.8329081374827165</v>
      </c>
    </row>
    <row r="1662" spans="9:11" x14ac:dyDescent="0.25">
      <c r="I1662" s="86">
        <v>1661</v>
      </c>
      <c r="J1662" s="87">
        <v>-0.39505164839671281</v>
      </c>
      <c r="K1662" s="87">
        <v>5.8810167270035789</v>
      </c>
    </row>
    <row r="1663" spans="9:11" x14ac:dyDescent="0.25">
      <c r="I1663" s="86">
        <v>1662</v>
      </c>
      <c r="J1663" s="87">
        <v>2.6905117955693925</v>
      </c>
      <c r="K1663" s="87">
        <v>5.6290995622422155</v>
      </c>
    </row>
    <row r="1664" spans="9:11" x14ac:dyDescent="0.25">
      <c r="I1664" s="86">
        <v>1663</v>
      </c>
      <c r="J1664" s="87">
        <v>0.60810718286848431</v>
      </c>
      <c r="K1664" s="87">
        <v>5.7497353057194891</v>
      </c>
    </row>
    <row r="1665" spans="9:11" x14ac:dyDescent="0.25">
      <c r="I1665" s="86">
        <v>1664</v>
      </c>
      <c r="J1665" s="87">
        <v>1.4790254482788088</v>
      </c>
      <c r="K1665" s="87">
        <v>6.4275506971961702</v>
      </c>
    </row>
    <row r="1666" spans="9:11" x14ac:dyDescent="0.25">
      <c r="I1666" s="86">
        <v>1665</v>
      </c>
      <c r="J1666" s="87">
        <v>1.0382585543196745</v>
      </c>
      <c r="K1666" s="87">
        <v>6.7749566686777465</v>
      </c>
    </row>
    <row r="1667" spans="9:11" x14ac:dyDescent="0.25">
      <c r="I1667" s="86">
        <v>1666</v>
      </c>
      <c r="J1667" s="87">
        <v>3.951272698691735</v>
      </c>
      <c r="K1667" s="87">
        <v>7.8539037086723775</v>
      </c>
    </row>
    <row r="1668" spans="9:11" x14ac:dyDescent="0.25">
      <c r="I1668" s="86">
        <v>1667</v>
      </c>
      <c r="J1668" s="87">
        <v>-0.42114151714181514</v>
      </c>
      <c r="K1668" s="87">
        <v>5.4341778896772164</v>
      </c>
    </row>
    <row r="1669" spans="9:11" x14ac:dyDescent="0.25">
      <c r="I1669" s="86">
        <v>1668</v>
      </c>
      <c r="J1669" s="87">
        <v>1.1589861385291611</v>
      </c>
      <c r="K1669" s="87">
        <v>7.7636424255763039</v>
      </c>
    </row>
    <row r="1670" spans="9:11" x14ac:dyDescent="0.25">
      <c r="I1670" s="86">
        <v>1669</v>
      </c>
      <c r="J1670" s="87">
        <v>1.586805697317538</v>
      </c>
      <c r="K1670" s="87">
        <v>7.7691766870047179</v>
      </c>
    </row>
    <row r="1671" spans="9:11" x14ac:dyDescent="0.25">
      <c r="I1671" s="86">
        <v>1670</v>
      </c>
      <c r="J1671" s="87">
        <v>0.45897499912768547</v>
      </c>
      <c r="K1671" s="87">
        <v>4.6129422354643692</v>
      </c>
    </row>
    <row r="1672" spans="9:11" x14ac:dyDescent="0.25">
      <c r="I1672" s="86">
        <v>1671</v>
      </c>
      <c r="J1672" s="87">
        <v>3.455640603106823</v>
      </c>
      <c r="K1672" s="87">
        <v>6.7705653651914508</v>
      </c>
    </row>
    <row r="1673" spans="9:11" x14ac:dyDescent="0.25">
      <c r="I1673" s="86">
        <v>1672</v>
      </c>
      <c r="J1673" s="87">
        <v>-0.11551241998106221</v>
      </c>
      <c r="K1673" s="87">
        <v>4.9636690425811949</v>
      </c>
    </row>
    <row r="1674" spans="9:11" x14ac:dyDescent="0.25">
      <c r="I1674" s="86">
        <v>1673</v>
      </c>
      <c r="J1674" s="87">
        <v>7.3449041275812146</v>
      </c>
      <c r="K1674" s="87">
        <v>12.355070494541765</v>
      </c>
    </row>
    <row r="1675" spans="9:11" x14ac:dyDescent="0.25">
      <c r="I1675" s="86">
        <v>1674</v>
      </c>
      <c r="J1675" s="87">
        <v>0.29428648423380466</v>
      </c>
      <c r="K1675" s="87">
        <v>6.7605879167913532</v>
      </c>
    </row>
    <row r="1676" spans="9:11" x14ac:dyDescent="0.25">
      <c r="I1676" s="86">
        <v>1675</v>
      </c>
      <c r="J1676" s="87">
        <v>1.8825364095083037</v>
      </c>
      <c r="K1676" s="87">
        <v>7.0297648631454024</v>
      </c>
    </row>
    <row r="1677" spans="9:11" x14ac:dyDescent="0.25">
      <c r="I1677" s="86">
        <v>1676</v>
      </c>
      <c r="J1677" s="87">
        <v>5.2572411770802052</v>
      </c>
      <c r="K1677" s="87">
        <v>6.8654200380627932</v>
      </c>
    </row>
    <row r="1678" spans="9:11" x14ac:dyDescent="0.25">
      <c r="I1678" s="86">
        <v>1677</v>
      </c>
      <c r="J1678" s="87">
        <v>-0.35184535194631739</v>
      </c>
      <c r="K1678" s="87">
        <v>5.4058389893034304</v>
      </c>
    </row>
    <row r="1679" spans="9:11" x14ac:dyDescent="0.25">
      <c r="I1679" s="86">
        <v>1678</v>
      </c>
      <c r="J1679" s="87">
        <v>-1.0645585030530622</v>
      </c>
      <c r="K1679" s="87">
        <v>5.6925967131478474</v>
      </c>
    </row>
    <row r="1680" spans="9:11" x14ac:dyDescent="0.25">
      <c r="I1680" s="86">
        <v>1679</v>
      </c>
      <c r="J1680" s="87">
        <v>2.6091366013030131</v>
      </c>
      <c r="K1680" s="87">
        <v>6.9394902347463958</v>
      </c>
    </row>
    <row r="1681" spans="9:11" x14ac:dyDescent="0.25">
      <c r="I1681" s="86">
        <v>1680</v>
      </c>
      <c r="J1681" s="87">
        <v>0.83082883900935789</v>
      </c>
      <c r="K1681" s="87">
        <v>5.5760176191561079</v>
      </c>
    </row>
    <row r="1682" spans="9:11" x14ac:dyDescent="0.25">
      <c r="I1682" s="86">
        <v>1681</v>
      </c>
      <c r="J1682" s="87">
        <v>0.97925045077510209</v>
      </c>
      <c r="K1682" s="87">
        <v>6.8082319582548507</v>
      </c>
    </row>
    <row r="1683" spans="9:11" x14ac:dyDescent="0.25">
      <c r="I1683" s="86">
        <v>1682</v>
      </c>
      <c r="J1683" s="87">
        <v>-0.28765965213488265</v>
      </c>
      <c r="K1683" s="87">
        <v>7.1904127406059191</v>
      </c>
    </row>
    <row r="1684" spans="9:11" x14ac:dyDescent="0.25">
      <c r="I1684" s="86">
        <v>1683</v>
      </c>
      <c r="J1684" s="87">
        <v>0.2518280593871669</v>
      </c>
      <c r="K1684" s="87">
        <v>5.7424863298221238</v>
      </c>
    </row>
    <row r="1685" spans="9:11" x14ac:dyDescent="0.25">
      <c r="I1685" s="86">
        <v>1684</v>
      </c>
      <c r="J1685" s="87">
        <v>2.5438751363524048</v>
      </c>
      <c r="K1685" s="87">
        <v>5.5294000923468811</v>
      </c>
    </row>
    <row r="1686" spans="9:11" x14ac:dyDescent="0.25">
      <c r="I1686" s="86">
        <v>1685</v>
      </c>
      <c r="J1686" s="87">
        <v>7.8631476821921549</v>
      </c>
      <c r="K1686" s="87">
        <v>11.57338219932608</v>
      </c>
    </row>
    <row r="1687" spans="9:11" x14ac:dyDescent="0.25">
      <c r="I1687" s="86">
        <v>1686</v>
      </c>
      <c r="J1687" s="87">
        <v>2.6498316321964106</v>
      </c>
      <c r="K1687" s="87">
        <v>8.1999556492413976</v>
      </c>
    </row>
    <row r="1688" spans="9:11" x14ac:dyDescent="0.25">
      <c r="I1688" s="86">
        <v>1687</v>
      </c>
      <c r="J1688" s="87">
        <v>3.1103799713077045</v>
      </c>
      <c r="K1688" s="87">
        <v>6.5592324946444647</v>
      </c>
    </row>
    <row r="1689" spans="9:11" x14ac:dyDescent="0.25">
      <c r="I1689" s="86">
        <v>1688</v>
      </c>
      <c r="J1689" s="87">
        <v>2.3135160059819899</v>
      </c>
      <c r="K1689" s="87">
        <v>8.6357860094752521</v>
      </c>
    </row>
    <row r="1690" spans="9:11" x14ac:dyDescent="0.25">
      <c r="I1690" s="86">
        <v>1689</v>
      </c>
      <c r="J1690" s="87">
        <v>0.34933806121899469</v>
      </c>
      <c r="K1690" s="87">
        <v>5.4649881496991402</v>
      </c>
    </row>
    <row r="1691" spans="9:11" x14ac:dyDescent="0.25">
      <c r="I1691" s="86">
        <v>1690</v>
      </c>
      <c r="J1691" s="87">
        <v>-2.917062304606155E-2</v>
      </c>
      <c r="K1691" s="87">
        <v>5.3111088407243505</v>
      </c>
    </row>
    <row r="1692" spans="9:11" x14ac:dyDescent="0.25">
      <c r="I1692" s="86">
        <v>1691</v>
      </c>
      <c r="J1692" s="87">
        <v>3.4864628788693111</v>
      </c>
      <c r="K1692" s="87">
        <v>8.8386875868902663</v>
      </c>
    </row>
    <row r="1693" spans="9:11" x14ac:dyDescent="0.25">
      <c r="I1693" s="86">
        <v>1692</v>
      </c>
      <c r="J1693" s="87">
        <v>0.77644037423526324</v>
      </c>
      <c r="K1693" s="87">
        <v>6.1931435212248864</v>
      </c>
    </row>
    <row r="1694" spans="9:11" x14ac:dyDescent="0.25">
      <c r="I1694" s="86">
        <v>1693</v>
      </c>
      <c r="J1694" s="87">
        <v>1.0118759115277536</v>
      </c>
      <c r="K1694" s="87">
        <v>6.1995376189847384</v>
      </c>
    </row>
    <row r="1695" spans="9:11" x14ac:dyDescent="0.25">
      <c r="I1695" s="86">
        <v>1694</v>
      </c>
      <c r="J1695" s="87">
        <v>2.3072483497204654</v>
      </c>
      <c r="K1695" s="87">
        <v>7.3743092151344811</v>
      </c>
    </row>
    <row r="1696" spans="9:11" x14ac:dyDescent="0.25">
      <c r="I1696" s="86">
        <v>1695</v>
      </c>
      <c r="J1696" s="87">
        <v>1.7752169519850272</v>
      </c>
      <c r="K1696" s="87">
        <v>6.8605398867144549</v>
      </c>
    </row>
    <row r="1697" spans="9:11" x14ac:dyDescent="0.25">
      <c r="I1697" s="86">
        <v>1696</v>
      </c>
      <c r="J1697" s="87">
        <v>2.2181628565608555</v>
      </c>
      <c r="K1697" s="87">
        <v>6.5918825051946142</v>
      </c>
    </row>
    <row r="1698" spans="9:11" x14ac:dyDescent="0.25">
      <c r="I1698" s="86">
        <v>1697</v>
      </c>
      <c r="J1698" s="87">
        <v>-2.5866896609599204</v>
      </c>
      <c r="K1698" s="87">
        <v>4.4095884654388522</v>
      </c>
    </row>
    <row r="1699" spans="9:11" x14ac:dyDescent="0.25">
      <c r="I1699" s="86">
        <v>1698</v>
      </c>
      <c r="J1699" s="87">
        <v>1.6893655304278736</v>
      </c>
      <c r="K1699" s="87">
        <v>6.0931184741745126</v>
      </c>
    </row>
    <row r="1700" spans="9:11" x14ac:dyDescent="0.25">
      <c r="I1700" s="86">
        <v>1699</v>
      </c>
      <c r="J1700" s="87">
        <v>-2.622480152421236E-2</v>
      </c>
      <c r="K1700" s="87">
        <v>5.0623865855740702</v>
      </c>
    </row>
    <row r="1701" spans="9:11" x14ac:dyDescent="0.25">
      <c r="I1701" s="86">
        <v>1700</v>
      </c>
      <c r="J1701" s="87">
        <v>2.0983265865022425</v>
      </c>
      <c r="K1701" s="87">
        <v>7.4887290884054281</v>
      </c>
    </row>
    <row r="1702" spans="9:11" x14ac:dyDescent="0.25">
      <c r="I1702" s="86">
        <v>1701</v>
      </c>
      <c r="J1702" s="87">
        <v>-1.2035743902918687</v>
      </c>
      <c r="K1702" s="87">
        <v>5.4746721277266692</v>
      </c>
    </row>
    <row r="1703" spans="9:11" x14ac:dyDescent="0.25">
      <c r="I1703" s="86">
        <v>1702</v>
      </c>
      <c r="J1703" s="87">
        <v>6.4099206485909832</v>
      </c>
      <c r="K1703" s="87">
        <v>12.652164307621856</v>
      </c>
    </row>
    <row r="1704" spans="9:11" x14ac:dyDescent="0.25">
      <c r="I1704" s="86">
        <v>1703</v>
      </c>
      <c r="J1704" s="87">
        <v>1.5912953999079118</v>
      </c>
      <c r="K1704" s="87">
        <v>6.4038808226535959</v>
      </c>
    </row>
    <row r="1705" spans="9:11" x14ac:dyDescent="0.25">
      <c r="I1705" s="86">
        <v>1704</v>
      </c>
      <c r="J1705" s="87">
        <v>-0.19286808106932973</v>
      </c>
      <c r="K1705" s="87">
        <v>3.8835032931165134</v>
      </c>
    </row>
    <row r="1706" spans="9:11" x14ac:dyDescent="0.25">
      <c r="I1706" s="86">
        <v>1705</v>
      </c>
      <c r="J1706" s="87">
        <v>2.5017194248219239</v>
      </c>
      <c r="K1706" s="87">
        <v>4.6109342418189581</v>
      </c>
    </row>
    <row r="1707" spans="9:11" x14ac:dyDescent="0.25">
      <c r="I1707" s="86">
        <v>1706</v>
      </c>
      <c r="J1707" s="87">
        <v>1.3536321327270073</v>
      </c>
      <c r="K1707" s="87">
        <v>6.3148077978365942</v>
      </c>
    </row>
    <row r="1708" spans="9:11" x14ac:dyDescent="0.25">
      <c r="I1708" s="86">
        <v>1707</v>
      </c>
      <c r="J1708" s="87">
        <v>1.4539831328252371</v>
      </c>
      <c r="K1708" s="87">
        <v>7.098149811292731</v>
      </c>
    </row>
    <row r="1709" spans="9:11" x14ac:dyDescent="0.25">
      <c r="I1709" s="86">
        <v>1708</v>
      </c>
      <c r="J1709" s="87">
        <v>1.2775914493592104</v>
      </c>
      <c r="K1709" s="87">
        <v>7.6389761224837018</v>
      </c>
    </row>
    <row r="1710" spans="9:11" x14ac:dyDescent="0.25">
      <c r="I1710" s="86">
        <v>1709</v>
      </c>
      <c r="J1710" s="87">
        <v>-0.22664081333850206</v>
      </c>
      <c r="K1710" s="87">
        <v>5.4882358397072988</v>
      </c>
    </row>
    <row r="1711" spans="9:11" x14ac:dyDescent="0.25">
      <c r="I1711" s="86">
        <v>1710</v>
      </c>
      <c r="J1711" s="87">
        <v>0.25507230958541882</v>
      </c>
      <c r="K1711" s="87">
        <v>5.3753240626501491</v>
      </c>
    </row>
    <row r="1712" spans="9:11" x14ac:dyDescent="0.25">
      <c r="I1712" s="86">
        <v>1711</v>
      </c>
      <c r="J1712" s="87">
        <v>-0.63693959327389216</v>
      </c>
      <c r="K1712" s="87">
        <v>5.7875538843673002</v>
      </c>
    </row>
    <row r="1713" spans="9:11" x14ac:dyDescent="0.25">
      <c r="I1713" s="86">
        <v>1712</v>
      </c>
      <c r="J1713" s="87">
        <v>7.5071175612319667</v>
      </c>
      <c r="K1713" s="87">
        <v>9.806470235927689</v>
      </c>
    </row>
    <row r="1714" spans="9:11" x14ac:dyDescent="0.25">
      <c r="I1714" s="86">
        <v>1713</v>
      </c>
      <c r="J1714" s="87">
        <v>2.0149484756684339</v>
      </c>
      <c r="K1714" s="87">
        <v>5.8936930358767698</v>
      </c>
    </row>
    <row r="1715" spans="9:11" x14ac:dyDescent="0.25">
      <c r="I1715" s="86">
        <v>1714</v>
      </c>
      <c r="J1715" s="87">
        <v>3.3408685092858805</v>
      </c>
      <c r="K1715" s="87">
        <v>7.867825606347898</v>
      </c>
    </row>
    <row r="1716" spans="9:11" x14ac:dyDescent="0.25">
      <c r="I1716" s="86">
        <v>1715</v>
      </c>
      <c r="J1716" s="87">
        <v>0.92394236743613156</v>
      </c>
      <c r="K1716" s="87">
        <v>6.2864628378683802</v>
      </c>
    </row>
    <row r="1717" spans="9:11" x14ac:dyDescent="0.25">
      <c r="I1717" s="86">
        <v>1716</v>
      </c>
      <c r="J1717" s="87">
        <v>4.8818133093568861</v>
      </c>
      <c r="K1717" s="87">
        <v>11.702520334128467</v>
      </c>
    </row>
    <row r="1718" spans="9:11" x14ac:dyDescent="0.25">
      <c r="I1718" s="86">
        <v>1717</v>
      </c>
      <c r="J1718" s="87">
        <v>3.1576869567791341</v>
      </c>
      <c r="K1718" s="87">
        <v>7.208082633625958</v>
      </c>
    </row>
    <row r="1719" spans="9:11" x14ac:dyDescent="0.25">
      <c r="I1719" s="86">
        <v>1718</v>
      </c>
      <c r="J1719" s="87">
        <v>4.6016681261717602</v>
      </c>
      <c r="K1719" s="87">
        <v>8.6577401257321327</v>
      </c>
    </row>
    <row r="1720" spans="9:11" x14ac:dyDescent="0.25">
      <c r="I1720" s="86">
        <v>1719</v>
      </c>
      <c r="J1720" s="87">
        <v>3.4419634153663132</v>
      </c>
      <c r="K1720" s="87">
        <v>8.1246421081938944</v>
      </c>
    </row>
    <row r="1721" spans="9:11" x14ac:dyDescent="0.25">
      <c r="I1721" s="86">
        <v>1720</v>
      </c>
      <c r="J1721" s="87">
        <v>4.9635577128277504</v>
      </c>
      <c r="K1721" s="87">
        <v>9.2027766627929584</v>
      </c>
    </row>
    <row r="1722" spans="9:11" x14ac:dyDescent="0.25">
      <c r="I1722" s="86">
        <v>1721</v>
      </c>
      <c r="J1722" s="87">
        <v>2.5947262811354106</v>
      </c>
      <c r="K1722" s="87">
        <v>8.8128109778312513</v>
      </c>
    </row>
    <row r="1723" spans="9:11" x14ac:dyDescent="0.25">
      <c r="I1723" s="86">
        <v>1722</v>
      </c>
      <c r="J1723" s="87">
        <v>4.4476928101041153</v>
      </c>
      <c r="K1723" s="87">
        <v>7.3793797265077794</v>
      </c>
    </row>
    <row r="1724" spans="9:11" x14ac:dyDescent="0.25">
      <c r="I1724" s="86">
        <v>1723</v>
      </c>
      <c r="J1724" s="87">
        <v>1.3113522185316553</v>
      </c>
      <c r="K1724" s="87">
        <v>8.0179255379476295</v>
      </c>
    </row>
    <row r="1725" spans="9:11" x14ac:dyDescent="0.25">
      <c r="I1725" s="86">
        <v>1724</v>
      </c>
      <c r="J1725" s="87">
        <v>0.75635596015132611</v>
      </c>
      <c r="K1725" s="87">
        <v>4.6391595803856251</v>
      </c>
    </row>
    <row r="1726" spans="9:11" x14ac:dyDescent="0.25">
      <c r="I1726" s="86">
        <v>1725</v>
      </c>
      <c r="J1726" s="87">
        <v>5.6117369997360278E-2</v>
      </c>
      <c r="K1726" s="87">
        <v>4.9072048721874681</v>
      </c>
    </row>
    <row r="1727" spans="9:11" x14ac:dyDescent="0.25">
      <c r="I1727" s="86">
        <v>1726</v>
      </c>
      <c r="J1727" s="87">
        <v>2.8083304325155467</v>
      </c>
      <c r="K1727" s="87">
        <v>5.8149317950531119</v>
      </c>
    </row>
    <row r="1728" spans="9:11" x14ac:dyDescent="0.25">
      <c r="I1728" s="86">
        <v>1727</v>
      </c>
      <c r="J1728" s="87">
        <v>3.5459828841693302</v>
      </c>
      <c r="K1728" s="87">
        <v>8.3506843881125246</v>
      </c>
    </row>
    <row r="1729" spans="9:11" x14ac:dyDescent="0.25">
      <c r="I1729" s="86">
        <v>1728</v>
      </c>
      <c r="J1729" s="87">
        <v>0.26773179055989615</v>
      </c>
      <c r="K1729" s="87">
        <v>7.2712571515157638</v>
      </c>
    </row>
    <row r="1730" spans="9:11" x14ac:dyDescent="0.25">
      <c r="I1730" s="86">
        <v>1729</v>
      </c>
      <c r="J1730" s="87">
        <v>0.77507662444360825</v>
      </c>
      <c r="K1730" s="87">
        <v>6.3297115339137973</v>
      </c>
    </row>
    <row r="1731" spans="9:11" x14ac:dyDescent="0.25">
      <c r="I1731" s="86">
        <v>1730</v>
      </c>
      <c r="J1731" s="87">
        <v>1.7292784492746209</v>
      </c>
      <c r="K1731" s="87">
        <v>5.2789551922143838</v>
      </c>
    </row>
    <row r="1732" spans="9:11" x14ac:dyDescent="0.25">
      <c r="I1732" s="86">
        <v>1731</v>
      </c>
      <c r="J1732" s="87">
        <v>-0.68201257231915324</v>
      </c>
      <c r="K1732" s="87">
        <v>6.3195326511499683</v>
      </c>
    </row>
    <row r="1733" spans="9:11" x14ac:dyDescent="0.25">
      <c r="I1733" s="86">
        <v>1732</v>
      </c>
      <c r="J1733" s="87">
        <v>0.96144772312327031</v>
      </c>
      <c r="K1733" s="87">
        <v>6.317823688185606</v>
      </c>
    </row>
    <row r="1734" spans="9:11" x14ac:dyDescent="0.25">
      <c r="I1734" s="86">
        <v>1733</v>
      </c>
      <c r="J1734" s="87">
        <v>2.740332370822502</v>
      </c>
      <c r="K1734" s="87">
        <v>8.4237686720049947</v>
      </c>
    </row>
    <row r="1735" spans="9:11" x14ac:dyDescent="0.25">
      <c r="I1735" s="86">
        <v>1734</v>
      </c>
      <c r="J1735" s="87">
        <v>-2.434288613509441</v>
      </c>
      <c r="K1735" s="87">
        <v>5.2042514326833409</v>
      </c>
    </row>
    <row r="1736" spans="9:11" x14ac:dyDescent="0.25">
      <c r="I1736" s="86">
        <v>1735</v>
      </c>
      <c r="J1736" s="87">
        <v>3.3165182030648026</v>
      </c>
      <c r="K1736" s="87">
        <v>10.379974234462637</v>
      </c>
    </row>
    <row r="1737" spans="9:11" x14ac:dyDescent="0.25">
      <c r="I1737" s="86">
        <v>1736</v>
      </c>
      <c r="J1737" s="87">
        <v>2.8537139312053483E-2</v>
      </c>
      <c r="K1737" s="87">
        <v>6.2370466542130441</v>
      </c>
    </row>
    <row r="1738" spans="9:11" x14ac:dyDescent="0.25">
      <c r="I1738" s="86">
        <v>1737</v>
      </c>
      <c r="J1738" s="87">
        <v>3.4061331702018656</v>
      </c>
      <c r="K1738" s="87">
        <v>7.1828373686883733</v>
      </c>
    </row>
    <row r="1739" spans="9:11" x14ac:dyDescent="0.25">
      <c r="I1739" s="86">
        <v>1738</v>
      </c>
      <c r="J1739" s="87">
        <v>4.9978303468511598</v>
      </c>
      <c r="K1739" s="87">
        <v>10.002466269998532</v>
      </c>
    </row>
    <row r="1740" spans="9:11" x14ac:dyDescent="0.25">
      <c r="I1740" s="86">
        <v>1739</v>
      </c>
      <c r="J1740" s="87">
        <v>3.4898967862148016</v>
      </c>
      <c r="K1740" s="87">
        <v>7.3912589730326026</v>
      </c>
    </row>
    <row r="1741" spans="9:11" x14ac:dyDescent="0.25">
      <c r="I1741" s="86">
        <v>1740</v>
      </c>
      <c r="J1741" s="87">
        <v>0.47951831543842349</v>
      </c>
      <c r="K1741" s="87">
        <v>6.0418800341640155</v>
      </c>
    </row>
    <row r="1742" spans="9:11" x14ac:dyDescent="0.25">
      <c r="I1742" s="86">
        <v>1741</v>
      </c>
      <c r="J1742" s="87">
        <v>6.8652170897480325E-2</v>
      </c>
      <c r="K1742" s="87">
        <v>6.4568804530936115</v>
      </c>
    </row>
    <row r="1743" spans="9:11" x14ac:dyDescent="0.25">
      <c r="I1743" s="86">
        <v>1742</v>
      </c>
      <c r="J1743" s="87">
        <v>-0.14344872856805235</v>
      </c>
      <c r="K1743" s="87">
        <v>5.8201315946443968</v>
      </c>
    </row>
    <row r="1744" spans="9:11" x14ac:dyDescent="0.25">
      <c r="I1744" s="86">
        <v>1743</v>
      </c>
      <c r="J1744" s="87">
        <v>-0.9955588677862286</v>
      </c>
      <c r="K1744" s="87">
        <v>4.9104508804349392</v>
      </c>
    </row>
    <row r="1745" spans="9:11" x14ac:dyDescent="0.25">
      <c r="I1745" s="86">
        <v>1744</v>
      </c>
      <c r="J1745" s="87">
        <v>1.5912273157160119</v>
      </c>
      <c r="K1745" s="87">
        <v>5.4745113078003973</v>
      </c>
    </row>
    <row r="1746" spans="9:11" x14ac:dyDescent="0.25">
      <c r="I1746" s="86">
        <v>1745</v>
      </c>
      <c r="J1746" s="87">
        <v>1.5853386699016347</v>
      </c>
      <c r="K1746" s="87">
        <v>4.4607314819132071</v>
      </c>
    </row>
    <row r="1747" spans="9:11" x14ac:dyDescent="0.25">
      <c r="I1747" s="86">
        <v>1746</v>
      </c>
      <c r="J1747" s="87">
        <v>2.8278816477498587</v>
      </c>
      <c r="K1747" s="87">
        <v>9.0422101270810575</v>
      </c>
    </row>
    <row r="1748" spans="9:11" x14ac:dyDescent="0.25">
      <c r="I1748" s="86">
        <v>1747</v>
      </c>
      <c r="J1748" s="87">
        <v>-0.22861482267846522</v>
      </c>
      <c r="K1748" s="87">
        <v>5.4169564454366288</v>
      </c>
    </row>
    <row r="1749" spans="9:11" x14ac:dyDescent="0.25">
      <c r="I1749" s="86">
        <v>1748</v>
      </c>
      <c r="J1749" s="87">
        <v>-1.7657575192487056</v>
      </c>
      <c r="K1749" s="87">
        <v>3.9187780013904914</v>
      </c>
    </row>
    <row r="1750" spans="9:11" x14ac:dyDescent="0.25">
      <c r="I1750" s="86">
        <v>1749</v>
      </c>
      <c r="J1750" s="87">
        <v>1.5453548994056838</v>
      </c>
      <c r="K1750" s="87">
        <v>6.9750163872569857</v>
      </c>
    </row>
    <row r="1751" spans="9:11" x14ac:dyDescent="0.25">
      <c r="I1751" s="86">
        <v>1750</v>
      </c>
      <c r="J1751" s="87">
        <v>-2.0570041195839983</v>
      </c>
      <c r="K1751" s="87">
        <v>4.7446557783620236</v>
      </c>
    </row>
    <row r="1752" spans="9:11" x14ac:dyDescent="0.25">
      <c r="I1752" s="86">
        <v>1751</v>
      </c>
      <c r="J1752" s="87">
        <v>1.2856420298989919</v>
      </c>
      <c r="K1752" s="87">
        <v>7.9743624186930804</v>
      </c>
    </row>
    <row r="1753" spans="9:11" x14ac:dyDescent="0.25">
      <c r="I1753" s="86">
        <v>1752</v>
      </c>
      <c r="J1753" s="87">
        <v>1.7614193156267737</v>
      </c>
      <c r="K1753" s="87">
        <v>7.5084554688414258</v>
      </c>
    </row>
    <row r="1754" spans="9:11" x14ac:dyDescent="0.25">
      <c r="I1754" s="86">
        <v>1753</v>
      </c>
      <c r="J1754" s="87">
        <v>0.9228119295330508</v>
      </c>
      <c r="K1754" s="87">
        <v>5.4483819489233154</v>
      </c>
    </row>
    <row r="1755" spans="9:11" x14ac:dyDescent="0.25">
      <c r="I1755" s="86">
        <v>1754</v>
      </c>
      <c r="J1755" s="87">
        <v>3.9310118478221909</v>
      </c>
      <c r="K1755" s="87">
        <v>7.7155396332852817</v>
      </c>
    </row>
    <row r="1756" spans="9:11" x14ac:dyDescent="0.25">
      <c r="I1756" s="86">
        <v>1755</v>
      </c>
      <c r="J1756" s="87">
        <v>5.0360052868717702</v>
      </c>
      <c r="K1756" s="87">
        <v>7.3512379897808824</v>
      </c>
    </row>
    <row r="1757" spans="9:11" x14ac:dyDescent="0.25">
      <c r="I1757" s="86">
        <v>1756</v>
      </c>
      <c r="J1757" s="87">
        <v>-2.1120524523026809</v>
      </c>
      <c r="K1757" s="87">
        <v>4.7409278924065026</v>
      </c>
    </row>
    <row r="1758" spans="9:11" x14ac:dyDescent="0.25">
      <c r="I1758" s="86">
        <v>1757</v>
      </c>
      <c r="J1758" s="87">
        <v>-1.2059556709635633</v>
      </c>
      <c r="K1758" s="87">
        <v>5.5965029725625666</v>
      </c>
    </row>
    <row r="1759" spans="9:11" x14ac:dyDescent="0.25">
      <c r="I1759" s="86">
        <v>1758</v>
      </c>
      <c r="J1759" s="87">
        <v>2.1585203965440991</v>
      </c>
      <c r="K1759" s="87">
        <v>6.8553603143076325</v>
      </c>
    </row>
    <row r="1760" spans="9:11" x14ac:dyDescent="0.25">
      <c r="I1760" s="86">
        <v>1759</v>
      </c>
      <c r="J1760" s="87">
        <v>1.514734751563803</v>
      </c>
      <c r="K1760" s="87">
        <v>5.8107264933873033</v>
      </c>
    </row>
    <row r="1761" spans="9:11" x14ac:dyDescent="0.25">
      <c r="I1761" s="86">
        <v>1760</v>
      </c>
      <c r="J1761" s="87">
        <v>1.7801872733178961</v>
      </c>
      <c r="K1761" s="87">
        <v>7.4884695115523652</v>
      </c>
    </row>
    <row r="1762" spans="9:11" x14ac:dyDescent="0.25">
      <c r="I1762" s="86">
        <v>1761</v>
      </c>
      <c r="J1762" s="87">
        <v>1.2919989837702062</v>
      </c>
      <c r="K1762" s="87">
        <v>5.924475828376873</v>
      </c>
    </row>
    <row r="1763" spans="9:11" x14ac:dyDescent="0.25">
      <c r="I1763" s="86">
        <v>1762</v>
      </c>
      <c r="J1763" s="87">
        <v>2.5394113633013635</v>
      </c>
      <c r="K1763" s="87">
        <v>6.9931167460699832</v>
      </c>
    </row>
    <row r="1764" spans="9:11" x14ac:dyDescent="0.25">
      <c r="I1764" s="86">
        <v>1763</v>
      </c>
      <c r="J1764" s="87">
        <v>-0.31578576890196519</v>
      </c>
      <c r="K1764" s="87">
        <v>5.1227382350117292</v>
      </c>
    </row>
    <row r="1765" spans="9:11" x14ac:dyDescent="0.25">
      <c r="I1765" s="86">
        <v>1764</v>
      </c>
      <c r="J1765" s="87">
        <v>0.71932618019499328</v>
      </c>
      <c r="K1765" s="87">
        <v>5.5181236838083354</v>
      </c>
    </row>
    <row r="1766" spans="9:11" x14ac:dyDescent="0.25">
      <c r="I1766" s="86">
        <v>1765</v>
      </c>
      <c r="J1766" s="87">
        <v>1.5781795174121616</v>
      </c>
      <c r="K1766" s="87">
        <v>8.2138576150832137</v>
      </c>
    </row>
    <row r="1767" spans="9:11" x14ac:dyDescent="0.25">
      <c r="I1767" s="86">
        <v>1766</v>
      </c>
      <c r="J1767" s="87">
        <v>-1.0193732852461741</v>
      </c>
      <c r="K1767" s="87">
        <v>6.0956512513708221</v>
      </c>
    </row>
    <row r="1768" spans="9:11" x14ac:dyDescent="0.25">
      <c r="I1768" s="86">
        <v>1767</v>
      </c>
      <c r="J1768" s="87">
        <v>1.3612825489321292</v>
      </c>
      <c r="K1768" s="87">
        <v>6.1330107397156697</v>
      </c>
    </row>
    <row r="1769" spans="9:11" x14ac:dyDescent="0.25">
      <c r="I1769" s="86">
        <v>1768</v>
      </c>
      <c r="J1769" s="87">
        <v>2.4813153684566771</v>
      </c>
      <c r="K1769" s="87">
        <v>9.0619658917275938</v>
      </c>
    </row>
    <row r="1770" spans="9:11" x14ac:dyDescent="0.25">
      <c r="I1770" s="86">
        <v>1769</v>
      </c>
      <c r="J1770" s="87">
        <v>4.5388137753498334</v>
      </c>
      <c r="K1770" s="87">
        <v>9.6894516259076333</v>
      </c>
    </row>
    <row r="1771" spans="9:11" x14ac:dyDescent="0.25">
      <c r="I1771" s="86">
        <v>1770</v>
      </c>
      <c r="J1771" s="87">
        <v>2.9682784395509332</v>
      </c>
      <c r="K1771" s="87">
        <v>8.7432130629555758</v>
      </c>
    </row>
    <row r="1772" spans="9:11" x14ac:dyDescent="0.25">
      <c r="I1772" s="86">
        <v>1771</v>
      </c>
      <c r="J1772" s="87">
        <v>1.570875074618844</v>
      </c>
      <c r="K1772" s="87">
        <v>5.9950238024922244</v>
      </c>
    </row>
    <row r="1773" spans="9:11" x14ac:dyDescent="0.25">
      <c r="I1773" s="86">
        <v>1772</v>
      </c>
      <c r="J1773" s="87">
        <v>-0.56310508216517441</v>
      </c>
      <c r="K1773" s="87">
        <v>5.818861602995189</v>
      </c>
    </row>
    <row r="1774" spans="9:11" x14ac:dyDescent="0.25">
      <c r="I1774" s="86">
        <v>1773</v>
      </c>
      <c r="J1774" s="87">
        <v>4.6356274740157133</v>
      </c>
      <c r="K1774" s="87">
        <v>9.6709997578111775</v>
      </c>
    </row>
    <row r="1775" spans="9:11" x14ac:dyDescent="0.25">
      <c r="I1775" s="86">
        <v>1774</v>
      </c>
      <c r="J1775" s="87">
        <v>2.0619284561996079</v>
      </c>
      <c r="K1775" s="87">
        <v>8.1963821362253952</v>
      </c>
    </row>
    <row r="1776" spans="9:11" x14ac:dyDescent="0.25">
      <c r="I1776" s="86">
        <v>1775</v>
      </c>
      <c r="J1776" s="87">
        <v>1.373803984620646</v>
      </c>
      <c r="K1776" s="87">
        <v>7.7949485108544971</v>
      </c>
    </row>
    <row r="1777" spans="9:11" x14ac:dyDescent="0.25">
      <c r="I1777" s="86">
        <v>1776</v>
      </c>
      <c r="J1777" s="87">
        <v>0.63195393107146147</v>
      </c>
      <c r="K1777" s="87">
        <v>4.7208009898966097</v>
      </c>
    </row>
    <row r="1778" spans="9:11" x14ac:dyDescent="0.25">
      <c r="I1778" s="86">
        <v>1777</v>
      </c>
      <c r="J1778" s="87">
        <v>1.0858793687126163</v>
      </c>
      <c r="K1778" s="87">
        <v>7.9770979975728373</v>
      </c>
    </row>
    <row r="1779" spans="9:11" x14ac:dyDescent="0.25">
      <c r="I1779" s="86">
        <v>1778</v>
      </c>
      <c r="J1779" s="87">
        <v>1.2607365492845561</v>
      </c>
      <c r="K1779" s="87">
        <v>7.2572184899093584</v>
      </c>
    </row>
    <row r="1780" spans="9:11" x14ac:dyDescent="0.25">
      <c r="I1780" s="86">
        <v>1779</v>
      </c>
      <c r="J1780" s="87">
        <v>2.4470130648389583</v>
      </c>
      <c r="K1780" s="87">
        <v>8.1490180255192488</v>
      </c>
    </row>
    <row r="1781" spans="9:11" x14ac:dyDescent="0.25">
      <c r="I1781" s="86">
        <v>1780</v>
      </c>
      <c r="J1781" s="87">
        <v>2.7316844288297419</v>
      </c>
      <c r="K1781" s="87">
        <v>7.1618583403284246</v>
      </c>
    </row>
    <row r="1782" spans="9:11" x14ac:dyDescent="0.25">
      <c r="I1782" s="86">
        <v>1781</v>
      </c>
      <c r="J1782" s="87">
        <v>-1.7764258805314097</v>
      </c>
      <c r="K1782" s="87">
        <v>4.4346939809310832</v>
      </c>
    </row>
    <row r="1783" spans="9:11" x14ac:dyDescent="0.25">
      <c r="I1783" s="86">
        <v>1782</v>
      </c>
      <c r="J1783" s="87">
        <v>4.8914541022889253</v>
      </c>
      <c r="K1783" s="87">
        <v>10.150912490985386</v>
      </c>
    </row>
    <row r="1784" spans="9:11" x14ac:dyDescent="0.25">
      <c r="I1784" s="86">
        <v>1783</v>
      </c>
      <c r="J1784" s="87">
        <v>0.66670082205534253</v>
      </c>
      <c r="K1784" s="87">
        <v>6.0332551931705947</v>
      </c>
    </row>
    <row r="1785" spans="9:11" x14ac:dyDescent="0.25">
      <c r="I1785" s="86">
        <v>1784</v>
      </c>
      <c r="J1785" s="87">
        <v>0.70669818281321373</v>
      </c>
      <c r="K1785" s="87">
        <v>6.1933823640029644</v>
      </c>
    </row>
    <row r="1786" spans="9:11" x14ac:dyDescent="0.25">
      <c r="I1786" s="86">
        <v>1785</v>
      </c>
      <c r="J1786" s="87">
        <v>1.2766565166680648</v>
      </c>
      <c r="K1786" s="87">
        <v>5.0642283564836639</v>
      </c>
    </row>
    <row r="1787" spans="9:11" x14ac:dyDescent="0.25">
      <c r="I1787" s="86">
        <v>1786</v>
      </c>
      <c r="J1787" s="87">
        <v>6.8565030827417512</v>
      </c>
      <c r="K1787" s="87">
        <v>10.977691265833396</v>
      </c>
    </row>
    <row r="1788" spans="9:11" x14ac:dyDescent="0.25">
      <c r="I1788" s="86">
        <v>1787</v>
      </c>
      <c r="J1788" s="87">
        <v>-4.7214453466678741E-2</v>
      </c>
      <c r="K1788" s="87">
        <v>5.5547693763125041</v>
      </c>
    </row>
    <row r="1789" spans="9:11" x14ac:dyDescent="0.25">
      <c r="I1789" s="86">
        <v>1788</v>
      </c>
      <c r="J1789" s="87">
        <v>3.9657176673023402</v>
      </c>
      <c r="K1789" s="87">
        <v>7.4195732151842435</v>
      </c>
    </row>
    <row r="1790" spans="9:11" x14ac:dyDescent="0.25">
      <c r="I1790" s="86">
        <v>1789</v>
      </c>
      <c r="J1790" s="87">
        <v>1.3265040000313286</v>
      </c>
      <c r="K1790" s="87">
        <v>7.8552480958176902</v>
      </c>
    </row>
    <row r="1791" spans="9:11" x14ac:dyDescent="0.25">
      <c r="I1791" s="86">
        <v>1790</v>
      </c>
      <c r="J1791" s="87">
        <v>2.0678698602136958</v>
      </c>
      <c r="K1791" s="87">
        <v>5.3573254196002704</v>
      </c>
    </row>
    <row r="1792" spans="9:11" x14ac:dyDescent="0.25">
      <c r="I1792" s="86">
        <v>1791</v>
      </c>
      <c r="J1792" s="87">
        <v>2.0149375855786378</v>
      </c>
      <c r="K1792" s="87">
        <v>8.8988197961503808</v>
      </c>
    </row>
    <row r="1793" spans="9:11" x14ac:dyDescent="0.25">
      <c r="I1793" s="86">
        <v>1792</v>
      </c>
      <c r="J1793" s="87">
        <v>1.3725139029684432</v>
      </c>
      <c r="K1793" s="87">
        <v>5.4390794049776714</v>
      </c>
    </row>
    <row r="1794" spans="9:11" x14ac:dyDescent="0.25">
      <c r="I1794" s="86">
        <v>1793</v>
      </c>
      <c r="J1794" s="87">
        <v>2.9532392489267032</v>
      </c>
      <c r="K1794" s="87">
        <v>7.5600138825791996</v>
      </c>
    </row>
    <row r="1795" spans="9:11" x14ac:dyDescent="0.25">
      <c r="I1795" s="86">
        <v>1794</v>
      </c>
      <c r="J1795" s="87">
        <v>1.9186605897830233</v>
      </c>
      <c r="K1795" s="87">
        <v>6.8003990386243363</v>
      </c>
    </row>
    <row r="1796" spans="9:11" x14ac:dyDescent="0.25">
      <c r="I1796" s="86">
        <v>1795</v>
      </c>
      <c r="J1796" s="87">
        <v>0.96910211984140027</v>
      </c>
      <c r="K1796" s="87">
        <v>4.609621949359612</v>
      </c>
    </row>
    <row r="1797" spans="9:11" x14ac:dyDescent="0.25">
      <c r="I1797" s="86">
        <v>1796</v>
      </c>
      <c r="J1797" s="87">
        <v>-0.7115177823504002</v>
      </c>
      <c r="K1797" s="87">
        <v>5.0364739836306809</v>
      </c>
    </row>
    <row r="1798" spans="9:11" x14ac:dyDescent="0.25">
      <c r="I1798" s="86">
        <v>1797</v>
      </c>
      <c r="J1798" s="87">
        <v>2.5033615610725883</v>
      </c>
      <c r="K1798" s="87">
        <v>6.6468716269004124</v>
      </c>
    </row>
    <row r="1799" spans="9:11" x14ac:dyDescent="0.25">
      <c r="I1799" s="86">
        <v>1798</v>
      </c>
      <c r="J1799" s="87">
        <v>1.6191355585063993</v>
      </c>
      <c r="K1799" s="87">
        <v>7.4385791750132908</v>
      </c>
    </row>
    <row r="1800" spans="9:11" x14ac:dyDescent="0.25">
      <c r="I1800" s="86">
        <v>1799</v>
      </c>
      <c r="J1800" s="87">
        <v>0.19463204127418887</v>
      </c>
      <c r="K1800" s="87">
        <v>5.2320507133006355</v>
      </c>
    </row>
    <row r="1801" spans="9:11" x14ac:dyDescent="0.25">
      <c r="I1801" s="86">
        <v>1800</v>
      </c>
      <c r="J1801" s="87">
        <v>2.8516807725561435</v>
      </c>
      <c r="K1801" s="87">
        <v>5.2909459897458246</v>
      </c>
    </row>
    <row r="1802" spans="9:11" x14ac:dyDescent="0.25">
      <c r="I1802" s="86">
        <v>1801</v>
      </c>
      <c r="J1802" s="87">
        <v>-0.1807021968712732</v>
      </c>
      <c r="K1802" s="87">
        <v>4.596506145922719</v>
      </c>
    </row>
    <row r="1803" spans="9:11" x14ac:dyDescent="0.25">
      <c r="I1803" s="86">
        <v>1802</v>
      </c>
      <c r="J1803" s="87">
        <v>3.3683278828330714</v>
      </c>
      <c r="K1803" s="87">
        <v>9.254634418400272</v>
      </c>
    </row>
    <row r="1804" spans="9:11" x14ac:dyDescent="0.25">
      <c r="I1804" s="86">
        <v>1803</v>
      </c>
      <c r="J1804" s="87">
        <v>0.73551854650768655</v>
      </c>
      <c r="K1804" s="87">
        <v>5.5914840663680812</v>
      </c>
    </row>
    <row r="1805" spans="9:11" x14ac:dyDescent="0.25">
      <c r="I1805" s="86">
        <v>1804</v>
      </c>
      <c r="J1805" s="87">
        <v>0.86283648204188257</v>
      </c>
      <c r="K1805" s="87">
        <v>6.6045215315397607</v>
      </c>
    </row>
    <row r="1806" spans="9:11" x14ac:dyDescent="0.25">
      <c r="I1806" s="86">
        <v>1805</v>
      </c>
      <c r="J1806" s="87">
        <v>0.79830350850200471</v>
      </c>
      <c r="K1806" s="87">
        <v>5.541680623849655</v>
      </c>
    </row>
    <row r="1807" spans="9:11" x14ac:dyDescent="0.25">
      <c r="I1807" s="86">
        <v>1806</v>
      </c>
      <c r="J1807" s="87">
        <v>2.5309994423218276</v>
      </c>
      <c r="K1807" s="87">
        <v>7.5381565337077827</v>
      </c>
    </row>
    <row r="1808" spans="9:11" x14ac:dyDescent="0.25">
      <c r="I1808" s="86">
        <v>1807</v>
      </c>
      <c r="J1808" s="87">
        <v>4.3433302474579474</v>
      </c>
      <c r="K1808" s="87">
        <v>10.025461649905333</v>
      </c>
    </row>
    <row r="1809" spans="9:11" x14ac:dyDescent="0.25">
      <c r="I1809" s="86">
        <v>1808</v>
      </c>
      <c r="J1809" s="87">
        <v>-0.28573759035260027</v>
      </c>
      <c r="K1809" s="87">
        <v>4.7202639586536623</v>
      </c>
    </row>
    <row r="1810" spans="9:11" x14ac:dyDescent="0.25">
      <c r="I1810" s="86">
        <v>1809</v>
      </c>
      <c r="J1810" s="87">
        <v>1.1813119633786551</v>
      </c>
      <c r="K1810" s="87">
        <v>6.9260335837445197</v>
      </c>
    </row>
    <row r="1811" spans="9:11" x14ac:dyDescent="0.25">
      <c r="I1811" s="86">
        <v>1810</v>
      </c>
      <c r="J1811" s="87">
        <v>1.2498785757403672</v>
      </c>
      <c r="K1811" s="87">
        <v>5.7611315997459593</v>
      </c>
    </row>
    <row r="1812" spans="9:11" x14ac:dyDescent="0.25">
      <c r="I1812" s="86">
        <v>1811</v>
      </c>
      <c r="J1812" s="87">
        <v>-0.62108747814197152</v>
      </c>
      <c r="K1812" s="87">
        <v>6.8232277540583528</v>
      </c>
    </row>
    <row r="1813" spans="9:11" x14ac:dyDescent="0.25">
      <c r="I1813" s="86">
        <v>1812</v>
      </c>
      <c r="J1813" s="87">
        <v>4.5604752533252579E-3</v>
      </c>
      <c r="K1813" s="87">
        <v>4.8383069200843778</v>
      </c>
    </row>
    <row r="1814" spans="9:11" x14ac:dyDescent="0.25">
      <c r="I1814" s="86">
        <v>1813</v>
      </c>
      <c r="J1814" s="87">
        <v>2.5389039506314877</v>
      </c>
      <c r="K1814" s="87">
        <v>8.140590892152499</v>
      </c>
    </row>
    <row r="1815" spans="9:11" x14ac:dyDescent="0.25">
      <c r="I1815" s="86">
        <v>1814</v>
      </c>
      <c r="J1815" s="87">
        <v>1.7703257229148015</v>
      </c>
      <c r="K1815" s="87">
        <v>6.1093289893782501</v>
      </c>
    </row>
    <row r="1816" spans="9:11" x14ac:dyDescent="0.25">
      <c r="I1816" s="86">
        <v>1815</v>
      </c>
      <c r="J1816" s="87">
        <v>1.0747609556698787</v>
      </c>
      <c r="K1816" s="87">
        <v>7.0624737110930091</v>
      </c>
    </row>
    <row r="1817" spans="9:11" x14ac:dyDescent="0.25">
      <c r="I1817" s="86">
        <v>1816</v>
      </c>
      <c r="J1817" s="87">
        <v>2.8623849108959201</v>
      </c>
      <c r="K1817" s="87">
        <v>8.653130896995739</v>
      </c>
    </row>
    <row r="1818" spans="9:11" x14ac:dyDescent="0.25">
      <c r="I1818" s="86">
        <v>1817</v>
      </c>
      <c r="J1818" s="87">
        <v>-0.76961962663318761</v>
      </c>
      <c r="K1818" s="87">
        <v>5.6963956086188734</v>
      </c>
    </row>
    <row r="1819" spans="9:11" x14ac:dyDescent="0.25">
      <c r="I1819" s="86">
        <v>1818</v>
      </c>
      <c r="J1819" s="87">
        <v>-0.51952700209900149</v>
      </c>
      <c r="K1819" s="87">
        <v>4.4610059288075083</v>
      </c>
    </row>
    <row r="1820" spans="9:11" x14ac:dyDescent="0.25">
      <c r="I1820" s="86">
        <v>1819</v>
      </c>
      <c r="J1820" s="87">
        <v>0.54386080614239507</v>
      </c>
      <c r="K1820" s="87">
        <v>6.2496375164140483</v>
      </c>
    </row>
    <row r="1821" spans="9:11" x14ac:dyDescent="0.25">
      <c r="I1821" s="86">
        <v>1820</v>
      </c>
      <c r="J1821" s="87">
        <v>-1.3721073496269742</v>
      </c>
      <c r="K1821" s="87">
        <v>5.3473428961209404</v>
      </c>
    </row>
    <row r="1822" spans="9:11" x14ac:dyDescent="0.25">
      <c r="I1822" s="86">
        <v>1821</v>
      </c>
      <c r="J1822" s="87">
        <v>5.4467410959366145</v>
      </c>
      <c r="K1822" s="87">
        <v>8.807667008425911</v>
      </c>
    </row>
    <row r="1823" spans="9:11" x14ac:dyDescent="0.25">
      <c r="I1823" s="86">
        <v>1822</v>
      </c>
      <c r="J1823" s="87">
        <v>5.2639627362356833E-2</v>
      </c>
      <c r="K1823" s="87">
        <v>5.6171161912842544</v>
      </c>
    </row>
    <row r="1824" spans="9:11" x14ac:dyDescent="0.25">
      <c r="I1824" s="86">
        <v>1823</v>
      </c>
      <c r="J1824" s="87">
        <v>1.2179673662870396</v>
      </c>
      <c r="K1824" s="87">
        <v>6.95732182082899</v>
      </c>
    </row>
    <row r="1825" spans="9:11" x14ac:dyDescent="0.25">
      <c r="I1825" s="86">
        <v>1824</v>
      </c>
      <c r="J1825" s="87">
        <v>4.6546278015045814</v>
      </c>
      <c r="K1825" s="87">
        <v>6.6472989854904236</v>
      </c>
    </row>
    <row r="1826" spans="9:11" x14ac:dyDescent="0.25">
      <c r="I1826" s="86">
        <v>1825</v>
      </c>
      <c r="J1826" s="87">
        <v>4.7247652318847297</v>
      </c>
      <c r="K1826" s="87">
        <v>10.769537611426347</v>
      </c>
    </row>
    <row r="1827" spans="9:11" x14ac:dyDescent="0.25">
      <c r="I1827" s="86">
        <v>1826</v>
      </c>
      <c r="J1827" s="87">
        <v>1.9208166501211874</v>
      </c>
      <c r="K1827" s="87">
        <v>8.4675407994065139</v>
      </c>
    </row>
    <row r="1828" spans="9:11" x14ac:dyDescent="0.25">
      <c r="I1828" s="86">
        <v>1827</v>
      </c>
      <c r="J1828" s="87">
        <v>1.0230425800407361</v>
      </c>
      <c r="K1828" s="87">
        <v>4.3636054861248779</v>
      </c>
    </row>
    <row r="1829" spans="9:11" x14ac:dyDescent="0.25">
      <c r="I1829" s="86">
        <v>1828</v>
      </c>
      <c r="J1829" s="87">
        <v>2.7861633192013828</v>
      </c>
      <c r="K1829" s="87">
        <v>6.5423103410890091</v>
      </c>
    </row>
    <row r="1830" spans="9:11" x14ac:dyDescent="0.25">
      <c r="I1830" s="86">
        <v>1829</v>
      </c>
      <c r="J1830" s="87">
        <v>1.2253542009272067</v>
      </c>
      <c r="K1830" s="87">
        <v>7.2595208682315704</v>
      </c>
    </row>
    <row r="1831" spans="9:11" x14ac:dyDescent="0.25">
      <c r="I1831" s="86">
        <v>1830</v>
      </c>
      <c r="J1831" s="87">
        <v>3.6578974383389529E-2</v>
      </c>
      <c r="K1831" s="87">
        <v>5.0688118199833943</v>
      </c>
    </row>
    <row r="1832" spans="9:11" x14ac:dyDescent="0.25">
      <c r="I1832" s="86">
        <v>1831</v>
      </c>
      <c r="J1832" s="87">
        <v>1.9080818814953568</v>
      </c>
      <c r="K1832" s="87">
        <v>6.5790518740944011</v>
      </c>
    </row>
    <row r="1833" spans="9:11" x14ac:dyDescent="0.25">
      <c r="I1833" s="86">
        <v>1832</v>
      </c>
      <c r="J1833" s="87">
        <v>1.393655102630067</v>
      </c>
      <c r="K1833" s="87">
        <v>6.5634363328238727</v>
      </c>
    </row>
    <row r="1834" spans="9:11" x14ac:dyDescent="0.25">
      <c r="I1834" s="86">
        <v>1833</v>
      </c>
      <c r="J1834" s="87">
        <v>1.2255164287364884</v>
      </c>
      <c r="K1834" s="87">
        <v>5.8248597379132327</v>
      </c>
    </row>
    <row r="1835" spans="9:11" x14ac:dyDescent="0.25">
      <c r="I1835" s="86">
        <v>1834</v>
      </c>
      <c r="J1835" s="87">
        <v>2.4965835158208298</v>
      </c>
      <c r="K1835" s="87">
        <v>9.0410699067773468</v>
      </c>
    </row>
    <row r="1836" spans="9:11" x14ac:dyDescent="0.25">
      <c r="I1836" s="86">
        <v>1835</v>
      </c>
      <c r="J1836" s="87">
        <v>-0.26202653768168371</v>
      </c>
      <c r="K1836" s="87">
        <v>5.9938269538796094</v>
      </c>
    </row>
    <row r="1837" spans="9:11" x14ac:dyDescent="0.25">
      <c r="I1837" s="86">
        <v>1836</v>
      </c>
      <c r="J1837" s="87">
        <v>4.9968123292799405</v>
      </c>
      <c r="K1837" s="87">
        <v>10.684393437502438</v>
      </c>
    </row>
    <row r="1838" spans="9:11" x14ac:dyDescent="0.25">
      <c r="I1838" s="86">
        <v>1837</v>
      </c>
      <c r="J1838" s="87">
        <v>2.4626490741325568</v>
      </c>
      <c r="K1838" s="87">
        <v>6.8367528679284781</v>
      </c>
    </row>
    <row r="1839" spans="9:11" x14ac:dyDescent="0.25">
      <c r="I1839" s="86">
        <v>1838</v>
      </c>
      <c r="J1839" s="87">
        <v>1.97137417666967</v>
      </c>
      <c r="K1839" s="87">
        <v>7.1696763179763598</v>
      </c>
    </row>
    <row r="1840" spans="9:11" x14ac:dyDescent="0.25">
      <c r="I1840" s="86">
        <v>1839</v>
      </c>
      <c r="J1840" s="87">
        <v>2.2893802184230179</v>
      </c>
      <c r="K1840" s="87">
        <v>7.3713391093057545</v>
      </c>
    </row>
    <row r="1841" spans="9:11" x14ac:dyDescent="0.25">
      <c r="I1841" s="86">
        <v>1840</v>
      </c>
      <c r="J1841" s="87">
        <v>2.1667997782329218</v>
      </c>
      <c r="K1841" s="87">
        <v>7.3886734241146534</v>
      </c>
    </row>
    <row r="1842" spans="9:11" x14ac:dyDescent="0.25">
      <c r="I1842" s="86">
        <v>1841</v>
      </c>
      <c r="J1842" s="87">
        <v>5.0683863062679313</v>
      </c>
      <c r="K1842" s="87">
        <v>7.4848638344302634</v>
      </c>
    </row>
    <row r="1843" spans="9:11" x14ac:dyDescent="0.25">
      <c r="I1843" s="86">
        <v>1842</v>
      </c>
      <c r="J1843" s="87">
        <v>0.74179549411044921</v>
      </c>
      <c r="K1843" s="87">
        <v>8.6172114529378057</v>
      </c>
    </row>
    <row r="1844" spans="9:11" x14ac:dyDescent="0.25">
      <c r="I1844" s="86">
        <v>1843</v>
      </c>
      <c r="J1844" s="87">
        <v>0.99926828796031764</v>
      </c>
      <c r="K1844" s="87">
        <v>7.1947255422913283</v>
      </c>
    </row>
    <row r="1845" spans="9:11" x14ac:dyDescent="0.25">
      <c r="I1845" s="86">
        <v>1844</v>
      </c>
      <c r="J1845" s="87">
        <v>1.8882803648726636</v>
      </c>
      <c r="K1845" s="87">
        <v>7.4835669730304017</v>
      </c>
    </row>
    <row r="1846" spans="9:11" x14ac:dyDescent="0.25">
      <c r="I1846" s="86">
        <v>1845</v>
      </c>
      <c r="J1846" s="87">
        <v>-1.3841592164304823</v>
      </c>
      <c r="K1846" s="87">
        <v>3.7253567018770939</v>
      </c>
    </row>
    <row r="1847" spans="9:11" x14ac:dyDescent="0.25">
      <c r="I1847" s="86">
        <v>1846</v>
      </c>
      <c r="J1847" s="87">
        <v>3.8672833763454726</v>
      </c>
      <c r="K1847" s="87">
        <v>6.3356579424181092</v>
      </c>
    </row>
    <row r="1848" spans="9:11" x14ac:dyDescent="0.25">
      <c r="I1848" s="86">
        <v>1847</v>
      </c>
      <c r="J1848" s="87">
        <v>2.2790267189267652</v>
      </c>
      <c r="K1848" s="87">
        <v>6.8746965674844223</v>
      </c>
    </row>
    <row r="1849" spans="9:11" x14ac:dyDescent="0.25">
      <c r="I1849" s="86">
        <v>1848</v>
      </c>
      <c r="J1849" s="87">
        <v>-0.28500708963461552</v>
      </c>
      <c r="K1849" s="87">
        <v>5.0762785248858027</v>
      </c>
    </row>
    <row r="1850" spans="9:11" x14ac:dyDescent="0.25">
      <c r="I1850" s="86">
        <v>1849</v>
      </c>
      <c r="J1850" s="87">
        <v>2.7598122644484011</v>
      </c>
      <c r="K1850" s="87">
        <v>7.2335360710164434</v>
      </c>
    </row>
    <row r="1851" spans="9:11" x14ac:dyDescent="0.25">
      <c r="I1851" s="86">
        <v>1850</v>
      </c>
      <c r="J1851" s="87">
        <v>2.7659677762876687</v>
      </c>
      <c r="K1851" s="87">
        <v>10.820651493019637</v>
      </c>
    </row>
    <row r="1852" spans="9:11" x14ac:dyDescent="0.25">
      <c r="I1852" s="86">
        <v>1851</v>
      </c>
      <c r="J1852" s="87">
        <v>3.207636690973434</v>
      </c>
      <c r="K1852" s="87">
        <v>7.3291711957161931</v>
      </c>
    </row>
    <row r="1853" spans="9:11" x14ac:dyDescent="0.25">
      <c r="I1853" s="86">
        <v>1852</v>
      </c>
      <c r="J1853" s="87">
        <v>-0.15869888733806015</v>
      </c>
      <c r="K1853" s="87">
        <v>5.8844775460635557</v>
      </c>
    </row>
    <row r="1854" spans="9:11" x14ac:dyDescent="0.25">
      <c r="I1854" s="86">
        <v>1853</v>
      </c>
      <c r="J1854" s="87">
        <v>0.23110416076557527</v>
      </c>
      <c r="K1854" s="87">
        <v>6.1232405864607529</v>
      </c>
    </row>
    <row r="1855" spans="9:11" x14ac:dyDescent="0.25">
      <c r="I1855" s="86">
        <v>1854</v>
      </c>
      <c r="J1855" s="87">
        <v>3.1195824520539261E-2</v>
      </c>
      <c r="K1855" s="87">
        <v>4.8276631660963467</v>
      </c>
    </row>
    <row r="1856" spans="9:11" x14ac:dyDescent="0.25">
      <c r="I1856" s="86">
        <v>1855</v>
      </c>
      <c r="J1856" s="87">
        <v>2.7324299421082863</v>
      </c>
      <c r="K1856" s="87">
        <v>8.0319071978792902</v>
      </c>
    </row>
    <row r="1857" spans="9:11" x14ac:dyDescent="0.25">
      <c r="I1857" s="86">
        <v>1856</v>
      </c>
      <c r="J1857" s="87">
        <v>7.0186680948865821E-2</v>
      </c>
      <c r="K1857" s="87">
        <v>5.5762313965773753</v>
      </c>
    </row>
    <row r="1858" spans="9:11" x14ac:dyDescent="0.25">
      <c r="I1858" s="86">
        <v>1857</v>
      </c>
      <c r="J1858" s="87">
        <v>-0.8371801308530733</v>
      </c>
      <c r="K1858" s="87">
        <v>5.0840242090143288</v>
      </c>
    </row>
    <row r="1859" spans="9:11" x14ac:dyDescent="0.25">
      <c r="I1859" s="86">
        <v>1858</v>
      </c>
      <c r="J1859" s="87">
        <v>10.281753551906846</v>
      </c>
      <c r="K1859" s="87">
        <v>11.847613790687591</v>
      </c>
    </row>
    <row r="1860" spans="9:11" x14ac:dyDescent="0.25">
      <c r="I1860" s="86">
        <v>1859</v>
      </c>
      <c r="J1860" s="87">
        <v>0.82754966283226938</v>
      </c>
      <c r="K1860" s="87">
        <v>6.289562367922521</v>
      </c>
    </row>
    <row r="1861" spans="9:11" x14ac:dyDescent="0.25">
      <c r="I1861" s="86">
        <v>1860</v>
      </c>
      <c r="J1861" s="87">
        <v>1.3733388614053723</v>
      </c>
      <c r="K1861" s="87">
        <v>6.3056060891867505</v>
      </c>
    </row>
    <row r="1862" spans="9:11" x14ac:dyDescent="0.25">
      <c r="I1862" s="86">
        <v>1861</v>
      </c>
      <c r="J1862" s="87">
        <v>0.95676034623173623</v>
      </c>
      <c r="K1862" s="87">
        <v>5.6099017338620873</v>
      </c>
    </row>
    <row r="1863" spans="9:11" x14ac:dyDescent="0.25">
      <c r="I1863" s="86">
        <v>1862</v>
      </c>
      <c r="J1863" s="87">
        <v>0.47149860901013962</v>
      </c>
      <c r="K1863" s="87">
        <v>7.3552827831141334</v>
      </c>
    </row>
    <row r="1864" spans="9:11" x14ac:dyDescent="0.25">
      <c r="I1864" s="86">
        <v>1863</v>
      </c>
      <c r="J1864" s="87">
        <v>2.9127216134048695</v>
      </c>
      <c r="K1864" s="87">
        <v>8.0646388517048866</v>
      </c>
    </row>
    <row r="1865" spans="9:11" x14ac:dyDescent="0.25">
      <c r="I1865" s="86">
        <v>1864</v>
      </c>
      <c r="J1865" s="87">
        <v>2.6378999882229195</v>
      </c>
      <c r="K1865" s="87">
        <v>5.5140737945447036</v>
      </c>
    </row>
    <row r="1866" spans="9:11" x14ac:dyDescent="0.25">
      <c r="I1866" s="86">
        <v>1865</v>
      </c>
      <c r="J1866" s="87">
        <v>9.98759575764403E-2</v>
      </c>
      <c r="K1866" s="87">
        <v>5.411910568224509</v>
      </c>
    </row>
    <row r="1867" spans="9:11" x14ac:dyDescent="0.25">
      <c r="I1867" s="86">
        <v>1866</v>
      </c>
      <c r="J1867" s="87">
        <v>2.9588561679151679</v>
      </c>
      <c r="K1867" s="87">
        <v>5.8838193901721274</v>
      </c>
    </row>
    <row r="1868" spans="9:11" x14ac:dyDescent="0.25">
      <c r="I1868" s="86">
        <v>1867</v>
      </c>
      <c r="J1868" s="87">
        <v>4.1897476882485636</v>
      </c>
      <c r="K1868" s="87">
        <v>9.2552863971640775</v>
      </c>
    </row>
    <row r="1869" spans="9:11" x14ac:dyDescent="0.25">
      <c r="I1869" s="86">
        <v>1868</v>
      </c>
      <c r="J1869" s="87">
        <v>0.3264806472121502</v>
      </c>
      <c r="K1869" s="87">
        <v>4.1864725059272692</v>
      </c>
    </row>
    <row r="1870" spans="9:11" x14ac:dyDescent="0.25">
      <c r="I1870" s="86">
        <v>1869</v>
      </c>
      <c r="J1870" s="87">
        <v>0.78013404862554525</v>
      </c>
      <c r="K1870" s="87">
        <v>4.9578386376329329</v>
      </c>
    </row>
    <row r="1871" spans="9:11" x14ac:dyDescent="0.25">
      <c r="I1871" s="86">
        <v>1870</v>
      </c>
      <c r="J1871" s="87">
        <v>2.3928461884998891</v>
      </c>
      <c r="K1871" s="87">
        <v>7.0035580552213359</v>
      </c>
    </row>
    <row r="1872" spans="9:11" x14ac:dyDescent="0.25">
      <c r="I1872" s="86">
        <v>1871</v>
      </c>
      <c r="J1872" s="87">
        <v>0.75176588744200057</v>
      </c>
      <c r="K1872" s="87">
        <v>6.8348683887350203</v>
      </c>
    </row>
    <row r="1873" spans="9:11" x14ac:dyDescent="0.25">
      <c r="I1873" s="86">
        <v>1872</v>
      </c>
      <c r="J1873" s="87">
        <v>2.3862704226565148</v>
      </c>
      <c r="K1873" s="87">
        <v>6.891907803214286</v>
      </c>
    </row>
    <row r="1874" spans="9:11" x14ac:dyDescent="0.25">
      <c r="I1874" s="86">
        <v>1873</v>
      </c>
      <c r="J1874" s="87">
        <v>-0.39093260076124103</v>
      </c>
      <c r="K1874" s="87">
        <v>5.3677430685655532</v>
      </c>
    </row>
    <row r="1875" spans="9:11" x14ac:dyDescent="0.25">
      <c r="I1875" s="86">
        <v>1874</v>
      </c>
      <c r="J1875" s="87">
        <v>1.3529585926161092</v>
      </c>
      <c r="K1875" s="87">
        <v>8.7356779903762742</v>
      </c>
    </row>
    <row r="1876" spans="9:11" x14ac:dyDescent="0.25">
      <c r="I1876" s="86">
        <v>1875</v>
      </c>
      <c r="J1876" s="87">
        <v>4.0157014623994591</v>
      </c>
      <c r="K1876" s="87">
        <v>8.7495527481095241</v>
      </c>
    </row>
    <row r="1877" spans="9:11" x14ac:dyDescent="0.25">
      <c r="I1877" s="86">
        <v>1876</v>
      </c>
      <c r="J1877" s="87">
        <v>2.059163487932997</v>
      </c>
      <c r="K1877" s="87">
        <v>5.0455196324454405</v>
      </c>
    </row>
    <row r="1878" spans="9:11" x14ac:dyDescent="0.25">
      <c r="I1878" s="86">
        <v>1877</v>
      </c>
      <c r="J1878" s="87">
        <v>-1.0763341490891163</v>
      </c>
      <c r="K1878" s="87">
        <v>4.752179185332646</v>
      </c>
    </row>
    <row r="1879" spans="9:11" x14ac:dyDescent="0.25">
      <c r="I1879" s="86">
        <v>1878</v>
      </c>
      <c r="J1879" s="87">
        <v>2.7272129379277326</v>
      </c>
      <c r="K1879" s="87">
        <v>7.4079799122982317</v>
      </c>
    </row>
    <row r="1880" spans="9:11" x14ac:dyDescent="0.25">
      <c r="I1880" s="86">
        <v>1879</v>
      </c>
      <c r="J1880" s="87">
        <v>-0.11005542208272878</v>
      </c>
      <c r="K1880" s="87">
        <v>7.8999529991357953</v>
      </c>
    </row>
    <row r="1881" spans="9:11" x14ac:dyDescent="0.25">
      <c r="I1881" s="86">
        <v>1880</v>
      </c>
      <c r="J1881" s="87">
        <v>1.3900119584553421</v>
      </c>
      <c r="K1881" s="87">
        <v>6.5427877399249335</v>
      </c>
    </row>
    <row r="1882" spans="9:11" x14ac:dyDescent="0.25">
      <c r="I1882" s="86">
        <v>1881</v>
      </c>
      <c r="J1882" s="87">
        <v>3.1130736518818045</v>
      </c>
      <c r="K1882" s="87">
        <v>9.023716070028744</v>
      </c>
    </row>
    <row r="1883" spans="9:11" x14ac:dyDescent="0.25">
      <c r="I1883" s="86">
        <v>1882</v>
      </c>
      <c r="J1883" s="87">
        <v>5.7306906451891848E-2</v>
      </c>
      <c r="K1883" s="87">
        <v>5.1254814758640208</v>
      </c>
    </row>
    <row r="1884" spans="9:11" x14ac:dyDescent="0.25">
      <c r="I1884" s="86">
        <v>1883</v>
      </c>
      <c r="J1884" s="87">
        <v>3.2949359103517599</v>
      </c>
      <c r="K1884" s="87">
        <v>7.698953454272802</v>
      </c>
    </row>
    <row r="1885" spans="9:11" x14ac:dyDescent="0.25">
      <c r="I1885" s="86">
        <v>1884</v>
      </c>
      <c r="J1885" s="87">
        <v>1.3365657606554429</v>
      </c>
      <c r="K1885" s="87">
        <v>8.4665042072163104</v>
      </c>
    </row>
    <row r="1886" spans="9:11" x14ac:dyDescent="0.25">
      <c r="I1886" s="86">
        <v>1885</v>
      </c>
      <c r="J1886" s="87">
        <v>2.8093609143901901</v>
      </c>
      <c r="K1886" s="87">
        <v>8.3445339929102342</v>
      </c>
    </row>
    <row r="1887" spans="9:11" x14ac:dyDescent="0.25">
      <c r="I1887" s="86">
        <v>1886</v>
      </c>
      <c r="J1887" s="87">
        <v>2.6553691289826906</v>
      </c>
      <c r="K1887" s="87">
        <v>8.4397622842182098</v>
      </c>
    </row>
    <row r="1888" spans="9:11" x14ac:dyDescent="0.25">
      <c r="I1888" s="86">
        <v>1887</v>
      </c>
      <c r="J1888" s="87">
        <v>2.6297624866190343</v>
      </c>
      <c r="K1888" s="87">
        <v>7.4956357044552426</v>
      </c>
    </row>
    <row r="1889" spans="9:11" x14ac:dyDescent="0.25">
      <c r="I1889" s="86">
        <v>1888</v>
      </c>
      <c r="J1889" s="87">
        <v>1.2079090244160668</v>
      </c>
      <c r="K1889" s="87">
        <v>5.7541887110825769</v>
      </c>
    </row>
    <row r="1890" spans="9:11" x14ac:dyDescent="0.25">
      <c r="I1890" s="86">
        <v>1889</v>
      </c>
      <c r="J1890" s="87">
        <v>7.3345926437277633</v>
      </c>
      <c r="K1890" s="87">
        <v>12.455285113343059</v>
      </c>
    </row>
    <row r="1891" spans="9:11" x14ac:dyDescent="0.25">
      <c r="I1891" s="86">
        <v>1890</v>
      </c>
      <c r="J1891" s="87">
        <v>1.1110822443318966</v>
      </c>
      <c r="K1891" s="87">
        <v>8.8397991201057895</v>
      </c>
    </row>
    <row r="1892" spans="9:11" x14ac:dyDescent="0.25">
      <c r="I1892" s="86">
        <v>1891</v>
      </c>
      <c r="J1892" s="87">
        <v>1.7422539857909785</v>
      </c>
      <c r="K1892" s="87">
        <v>6.4178773623721908</v>
      </c>
    </row>
    <row r="1893" spans="9:11" x14ac:dyDescent="0.25">
      <c r="I1893" s="86">
        <v>1892</v>
      </c>
      <c r="J1893" s="87">
        <v>1.6781359677283829</v>
      </c>
      <c r="K1893" s="87">
        <v>6.9607641622133318</v>
      </c>
    </row>
    <row r="1894" spans="9:11" x14ac:dyDescent="0.25">
      <c r="I1894" s="86">
        <v>1893</v>
      </c>
      <c r="J1894" s="87">
        <v>-1.9922150062825557</v>
      </c>
      <c r="K1894" s="87">
        <v>5.4406366649196345</v>
      </c>
    </row>
    <row r="1895" spans="9:11" x14ac:dyDescent="0.25">
      <c r="I1895" s="86">
        <v>1894</v>
      </c>
      <c r="J1895" s="87">
        <v>0.61579862721301204</v>
      </c>
      <c r="K1895" s="87">
        <v>6.4826314107420391</v>
      </c>
    </row>
    <row r="1896" spans="9:11" x14ac:dyDescent="0.25">
      <c r="I1896" s="86">
        <v>1895</v>
      </c>
      <c r="J1896" s="87">
        <v>5.884878403985164</v>
      </c>
      <c r="K1896" s="87">
        <v>9.611405024795765</v>
      </c>
    </row>
    <row r="1897" spans="9:11" x14ac:dyDescent="0.25">
      <c r="I1897" s="86">
        <v>1896</v>
      </c>
      <c r="J1897" s="87">
        <v>1.7750680377308647</v>
      </c>
      <c r="K1897" s="87">
        <v>5.7415815570929416</v>
      </c>
    </row>
    <row r="1898" spans="9:11" x14ac:dyDescent="0.25">
      <c r="I1898" s="86">
        <v>1897</v>
      </c>
      <c r="J1898" s="87">
        <v>4.1258415797211878</v>
      </c>
      <c r="K1898" s="87">
        <v>10.682903311919855</v>
      </c>
    </row>
    <row r="1899" spans="9:11" x14ac:dyDescent="0.25">
      <c r="I1899" s="86">
        <v>1898</v>
      </c>
      <c r="J1899" s="87">
        <v>1.3291005318362688</v>
      </c>
      <c r="K1899" s="87">
        <v>6.556490254870794</v>
      </c>
    </row>
    <row r="1900" spans="9:11" x14ac:dyDescent="0.25">
      <c r="I1900" s="86">
        <v>1899</v>
      </c>
      <c r="J1900" s="87">
        <v>5.1529037406292053</v>
      </c>
      <c r="K1900" s="87">
        <v>8.1875046221708416</v>
      </c>
    </row>
    <row r="1901" spans="9:11" x14ac:dyDescent="0.25">
      <c r="I1901" s="86">
        <v>1900</v>
      </c>
      <c r="J1901" s="87">
        <v>-1.86829835887794E-2</v>
      </c>
      <c r="K1901" s="87">
        <v>5.5824460550417347</v>
      </c>
    </row>
    <row r="1902" spans="9:11" x14ac:dyDescent="0.25">
      <c r="I1902" s="86">
        <v>1901</v>
      </c>
      <c r="J1902" s="87">
        <v>3.947850617323847</v>
      </c>
      <c r="K1902" s="87">
        <v>8.3264383789524778</v>
      </c>
    </row>
    <row r="1903" spans="9:11" x14ac:dyDescent="0.25">
      <c r="I1903" s="86">
        <v>1902</v>
      </c>
      <c r="J1903" s="87">
        <v>-0.2476198664755529</v>
      </c>
      <c r="K1903" s="87">
        <v>6.1604614739022212</v>
      </c>
    </row>
    <row r="1904" spans="9:11" x14ac:dyDescent="0.25">
      <c r="I1904" s="86">
        <v>1903</v>
      </c>
      <c r="J1904" s="87">
        <v>-0.33733303240463597</v>
      </c>
      <c r="K1904" s="87">
        <v>4.6632894495961663</v>
      </c>
    </row>
    <row r="1905" spans="9:11" x14ac:dyDescent="0.25">
      <c r="I1905" s="86">
        <v>1904</v>
      </c>
      <c r="J1905" s="87">
        <v>2.8792420292210155</v>
      </c>
      <c r="K1905" s="87">
        <v>7.0065429955645842</v>
      </c>
    </row>
    <row r="1906" spans="9:11" x14ac:dyDescent="0.25">
      <c r="I1906" s="86">
        <v>1905</v>
      </c>
      <c r="J1906" s="87">
        <v>0.90268879029546589</v>
      </c>
      <c r="K1906" s="87">
        <v>6.6171033315255654</v>
      </c>
    </row>
    <row r="1907" spans="9:11" x14ac:dyDescent="0.25">
      <c r="I1907" s="86">
        <v>1906</v>
      </c>
      <c r="J1907" s="87">
        <v>2.3436889909662568</v>
      </c>
      <c r="K1907" s="87">
        <v>5.8724002843582195</v>
      </c>
    </row>
    <row r="1908" spans="9:11" x14ac:dyDescent="0.25">
      <c r="I1908" s="86">
        <v>1907</v>
      </c>
      <c r="J1908" s="87">
        <v>1.4569186212477772</v>
      </c>
      <c r="K1908" s="87">
        <v>5.4436443678202906</v>
      </c>
    </row>
    <row r="1909" spans="9:11" x14ac:dyDescent="0.25">
      <c r="I1909" s="86">
        <v>1908</v>
      </c>
      <c r="J1909" s="87">
        <v>0.59349368461226515</v>
      </c>
      <c r="K1909" s="87">
        <v>6.4796898111446799</v>
      </c>
    </row>
    <row r="1910" spans="9:11" x14ac:dyDescent="0.25">
      <c r="I1910" s="86">
        <v>1909</v>
      </c>
      <c r="J1910" s="87">
        <v>-1.450714494548087</v>
      </c>
      <c r="K1910" s="87">
        <v>4.2300969271303419</v>
      </c>
    </row>
    <row r="1911" spans="9:11" x14ac:dyDescent="0.25">
      <c r="I1911" s="86">
        <v>1910</v>
      </c>
      <c r="J1911" s="87">
        <v>1.7531865575905101</v>
      </c>
      <c r="K1911" s="87">
        <v>6.9979414078383391</v>
      </c>
    </row>
    <row r="1912" spans="9:11" x14ac:dyDescent="0.25">
      <c r="I1912" s="86">
        <v>1911</v>
      </c>
      <c r="J1912" s="87">
        <v>1.3556239054380841</v>
      </c>
      <c r="K1912" s="87">
        <v>6.3803785215706856</v>
      </c>
    </row>
    <row r="1913" spans="9:11" x14ac:dyDescent="0.25">
      <c r="I1913" s="86">
        <v>1912</v>
      </c>
      <c r="J1913" s="87">
        <v>0.82660278967554479</v>
      </c>
      <c r="K1913" s="87">
        <v>4.7492020809918349</v>
      </c>
    </row>
    <row r="1914" spans="9:11" x14ac:dyDescent="0.25">
      <c r="I1914" s="86">
        <v>1913</v>
      </c>
      <c r="J1914" s="87">
        <v>-9.8667948252361803E-2</v>
      </c>
      <c r="K1914" s="87">
        <v>6.2803727572694434</v>
      </c>
    </row>
    <row r="1915" spans="9:11" x14ac:dyDescent="0.25">
      <c r="I1915" s="86">
        <v>1914</v>
      </c>
      <c r="J1915" s="87">
        <v>0.57969780372399438</v>
      </c>
      <c r="K1915" s="87">
        <v>5.9630954450997651</v>
      </c>
    </row>
    <row r="1916" spans="9:11" x14ac:dyDescent="0.25">
      <c r="I1916" s="86">
        <v>1915</v>
      </c>
      <c r="J1916" s="87">
        <v>7.1753287920426825</v>
      </c>
      <c r="K1916" s="87">
        <v>10.93632209914974</v>
      </c>
    </row>
    <row r="1917" spans="9:11" x14ac:dyDescent="0.25">
      <c r="I1917" s="86">
        <v>1916</v>
      </c>
      <c r="J1917" s="87">
        <v>3.4908917089235265</v>
      </c>
      <c r="K1917" s="87">
        <v>6.7190388805445647</v>
      </c>
    </row>
    <row r="1918" spans="9:11" x14ac:dyDescent="0.25">
      <c r="I1918" s="86">
        <v>1917</v>
      </c>
      <c r="J1918" s="87">
        <v>6.1253710288203997</v>
      </c>
      <c r="K1918" s="87">
        <v>11.183640679089377</v>
      </c>
    </row>
    <row r="1919" spans="9:11" x14ac:dyDescent="0.25">
      <c r="I1919" s="86">
        <v>1918</v>
      </c>
      <c r="J1919" s="87">
        <v>2.8595638050039778</v>
      </c>
      <c r="K1919" s="87">
        <v>8.0112224202318121</v>
      </c>
    </row>
    <row r="1920" spans="9:11" x14ac:dyDescent="0.25">
      <c r="I1920" s="86">
        <v>1919</v>
      </c>
      <c r="J1920" s="87">
        <v>2.0661615296009255</v>
      </c>
      <c r="K1920" s="87">
        <v>5.7886967775042706</v>
      </c>
    </row>
    <row r="1921" spans="9:11" x14ac:dyDescent="0.25">
      <c r="I1921" s="86">
        <v>1920</v>
      </c>
      <c r="J1921" s="87">
        <v>-0.48854626061012763</v>
      </c>
      <c r="K1921" s="87">
        <v>5.6755199820835083</v>
      </c>
    </row>
    <row r="1922" spans="9:11" x14ac:dyDescent="0.25">
      <c r="I1922" s="86">
        <v>1921</v>
      </c>
      <c r="J1922" s="87">
        <v>4.8983187919270907</v>
      </c>
      <c r="K1922" s="87">
        <v>9.4277687024549586</v>
      </c>
    </row>
    <row r="1923" spans="9:11" x14ac:dyDescent="0.25">
      <c r="I1923" s="86">
        <v>1922</v>
      </c>
      <c r="J1923" s="87">
        <v>0.40026599475339797</v>
      </c>
      <c r="K1923" s="87">
        <v>7.8608243344777557</v>
      </c>
    </row>
    <row r="1924" spans="9:11" x14ac:dyDescent="0.25">
      <c r="I1924" s="86">
        <v>1923</v>
      </c>
      <c r="J1924" s="87">
        <v>1.5169161024055011</v>
      </c>
      <c r="K1924" s="87">
        <v>5.6846520162589886</v>
      </c>
    </row>
    <row r="1925" spans="9:11" x14ac:dyDescent="0.25">
      <c r="I1925" s="86">
        <v>1924</v>
      </c>
      <c r="J1925" s="87">
        <v>1.2063168294047282</v>
      </c>
      <c r="K1925" s="87">
        <v>8.225803608763389</v>
      </c>
    </row>
    <row r="1926" spans="9:11" x14ac:dyDescent="0.25">
      <c r="I1926" s="86">
        <v>1925</v>
      </c>
      <c r="J1926" s="87">
        <v>1.6559827972825625</v>
      </c>
      <c r="K1926" s="87">
        <v>6.4097561512294865</v>
      </c>
    </row>
    <row r="1927" spans="9:11" x14ac:dyDescent="0.25">
      <c r="I1927" s="86">
        <v>1926</v>
      </c>
      <c r="J1927" s="87">
        <v>0.46229567094037716</v>
      </c>
      <c r="K1927" s="87">
        <v>6.402173128254395</v>
      </c>
    </row>
    <row r="1928" spans="9:11" x14ac:dyDescent="0.25">
      <c r="I1928" s="86">
        <v>1927</v>
      </c>
      <c r="J1928" s="87">
        <v>3.7240336676586923</v>
      </c>
      <c r="K1928" s="87">
        <v>4.9415949354619952</v>
      </c>
    </row>
    <row r="1929" spans="9:11" x14ac:dyDescent="0.25">
      <c r="I1929" s="86">
        <v>1928</v>
      </c>
      <c r="J1929" s="87">
        <v>3.309941102384836</v>
      </c>
      <c r="K1929" s="87">
        <v>7.8781891172501988</v>
      </c>
    </row>
    <row r="1930" spans="9:11" x14ac:dyDescent="0.25">
      <c r="I1930" s="86">
        <v>1929</v>
      </c>
      <c r="J1930" s="87">
        <v>2.4838801289748584</v>
      </c>
      <c r="K1930" s="87">
        <v>6.6513597859700191</v>
      </c>
    </row>
    <row r="1931" spans="9:11" x14ac:dyDescent="0.25">
      <c r="I1931" s="86">
        <v>1930</v>
      </c>
      <c r="J1931" s="87">
        <v>1.0225819753562755</v>
      </c>
      <c r="K1931" s="87">
        <v>7.4794925173362241</v>
      </c>
    </row>
    <row r="1932" spans="9:11" x14ac:dyDescent="0.25">
      <c r="I1932" s="86">
        <v>1931</v>
      </c>
      <c r="J1932" s="87">
        <v>0.62787876936998099</v>
      </c>
      <c r="K1932" s="87">
        <v>6.5106243258826861</v>
      </c>
    </row>
    <row r="1933" spans="9:11" x14ac:dyDescent="0.25">
      <c r="I1933" s="86">
        <v>1932</v>
      </c>
      <c r="J1933" s="87">
        <v>3.3059768483800722</v>
      </c>
      <c r="K1933" s="87">
        <v>8.7928362942934974</v>
      </c>
    </row>
    <row r="1934" spans="9:11" x14ac:dyDescent="0.25">
      <c r="I1934" s="86">
        <v>1933</v>
      </c>
      <c r="J1934" s="87">
        <v>-0.73526761523384332</v>
      </c>
      <c r="K1934" s="87">
        <v>4.3676869939687384</v>
      </c>
    </row>
    <row r="1935" spans="9:11" x14ac:dyDescent="0.25">
      <c r="I1935" s="86">
        <v>1934</v>
      </c>
      <c r="J1935" s="87">
        <v>2.003801627181292</v>
      </c>
      <c r="K1935" s="87">
        <v>8.6130051988397049</v>
      </c>
    </row>
    <row r="1936" spans="9:11" x14ac:dyDescent="0.25">
      <c r="I1936" s="86">
        <v>1935</v>
      </c>
      <c r="J1936" s="87">
        <v>1.1936435233024092</v>
      </c>
      <c r="K1936" s="87">
        <v>8.3598616973097268</v>
      </c>
    </row>
    <row r="1937" spans="9:11" x14ac:dyDescent="0.25">
      <c r="I1937" s="86">
        <v>1936</v>
      </c>
      <c r="J1937" s="87">
        <v>3.3219302983615826</v>
      </c>
      <c r="K1937" s="87">
        <v>10.540400938519937</v>
      </c>
    </row>
    <row r="1938" spans="9:11" x14ac:dyDescent="0.25">
      <c r="I1938" s="86">
        <v>1937</v>
      </c>
      <c r="J1938" s="87">
        <v>4.7196942131243711</v>
      </c>
      <c r="K1938" s="87">
        <v>9.5803027562239365</v>
      </c>
    </row>
    <row r="1939" spans="9:11" x14ac:dyDescent="0.25">
      <c r="I1939" s="86">
        <v>1938</v>
      </c>
      <c r="J1939" s="87">
        <v>3.3468163779635303</v>
      </c>
      <c r="K1939" s="87">
        <v>8.0135678343235384</v>
      </c>
    </row>
    <row r="1940" spans="9:11" x14ac:dyDescent="0.25">
      <c r="I1940" s="86">
        <v>1939</v>
      </c>
      <c r="J1940" s="87">
        <v>1.0646611287725176</v>
      </c>
      <c r="K1940" s="87">
        <v>5.0202118430721043</v>
      </c>
    </row>
    <row r="1941" spans="9:11" x14ac:dyDescent="0.25">
      <c r="I1941" s="86">
        <v>1940</v>
      </c>
      <c r="J1941" s="87">
        <v>0.5145842798210154</v>
      </c>
      <c r="K1941" s="87">
        <v>5.9884918152464248</v>
      </c>
    </row>
    <row r="1942" spans="9:11" x14ac:dyDescent="0.25">
      <c r="I1942" s="86">
        <v>1941</v>
      </c>
      <c r="J1942" s="87">
        <v>1.5020776213185147</v>
      </c>
      <c r="K1942" s="87">
        <v>8.0881174089329502</v>
      </c>
    </row>
    <row r="1943" spans="9:11" x14ac:dyDescent="0.25">
      <c r="I1943" s="86">
        <v>1942</v>
      </c>
      <c r="J1943" s="87">
        <v>2.1725358815094546</v>
      </c>
      <c r="K1943" s="87">
        <v>6.7109710061616754</v>
      </c>
    </row>
    <row r="1944" spans="9:11" x14ac:dyDescent="0.25">
      <c r="I1944" s="86">
        <v>1943</v>
      </c>
      <c r="J1944" s="87">
        <v>0.17152321199739173</v>
      </c>
      <c r="K1944" s="87">
        <v>6.491398952240961</v>
      </c>
    </row>
    <row r="1945" spans="9:11" x14ac:dyDescent="0.25">
      <c r="I1945" s="86">
        <v>1944</v>
      </c>
      <c r="J1945" s="87">
        <v>1.8934386948322919</v>
      </c>
      <c r="K1945" s="87">
        <v>5.4290456146757382</v>
      </c>
    </row>
    <row r="1946" spans="9:11" x14ac:dyDescent="0.25">
      <c r="I1946" s="86">
        <v>1945</v>
      </c>
      <c r="J1946" s="87">
        <v>-0.1072778152962055</v>
      </c>
      <c r="K1946" s="87">
        <v>5.5220676967044167</v>
      </c>
    </row>
    <row r="1947" spans="9:11" x14ac:dyDescent="0.25">
      <c r="I1947" s="86">
        <v>1946</v>
      </c>
      <c r="J1947" s="87">
        <v>1.1152668384803839</v>
      </c>
      <c r="K1947" s="87">
        <v>6.1081194067785436</v>
      </c>
    </row>
    <row r="1948" spans="9:11" x14ac:dyDescent="0.25">
      <c r="I1948" s="86">
        <v>1947</v>
      </c>
      <c r="J1948" s="87">
        <v>1.5849176211750828</v>
      </c>
      <c r="K1948" s="87">
        <v>7.0299945110324602</v>
      </c>
    </row>
    <row r="1949" spans="9:11" x14ac:dyDescent="0.25">
      <c r="I1949" s="86">
        <v>1948</v>
      </c>
      <c r="J1949" s="87">
        <v>-1.1773458671899588</v>
      </c>
      <c r="K1949" s="87">
        <v>4.9511956279094251</v>
      </c>
    </row>
    <row r="1950" spans="9:11" x14ac:dyDescent="0.25">
      <c r="I1950" s="86">
        <v>1949</v>
      </c>
      <c r="J1950" s="87">
        <v>-1.1382497233024598</v>
      </c>
      <c r="K1950" s="87">
        <v>4.5479148983964626</v>
      </c>
    </row>
    <row r="1951" spans="9:11" x14ac:dyDescent="0.25">
      <c r="I1951" s="86">
        <v>1950</v>
      </c>
      <c r="J1951" s="87">
        <v>1.4381200996967705</v>
      </c>
      <c r="K1951" s="87">
        <v>5.0245924319583892</v>
      </c>
    </row>
    <row r="1952" spans="9:11" x14ac:dyDescent="0.25">
      <c r="I1952" s="86">
        <v>1951</v>
      </c>
      <c r="J1952" s="87">
        <v>-2.0824999542866527</v>
      </c>
      <c r="K1952" s="87">
        <v>4.9424892504334101</v>
      </c>
    </row>
    <row r="1953" spans="9:11" x14ac:dyDescent="0.25">
      <c r="I1953" s="86">
        <v>1952</v>
      </c>
      <c r="J1953" s="87">
        <v>4.6870971292640347</v>
      </c>
      <c r="K1953" s="87">
        <v>8.5596968466274248</v>
      </c>
    </row>
    <row r="1954" spans="9:11" x14ac:dyDescent="0.25">
      <c r="I1954" s="86">
        <v>1953</v>
      </c>
      <c r="J1954" s="87">
        <v>4.7069605227678899</v>
      </c>
      <c r="K1954" s="87">
        <v>8.5454882215394115</v>
      </c>
    </row>
    <row r="1955" spans="9:11" x14ac:dyDescent="0.25">
      <c r="I1955" s="86">
        <v>1954</v>
      </c>
      <c r="J1955" s="87">
        <v>1.92973752096254</v>
      </c>
      <c r="K1955" s="87">
        <v>7.5676492018881545</v>
      </c>
    </row>
    <row r="1956" spans="9:11" x14ac:dyDescent="0.25">
      <c r="I1956" s="86">
        <v>1955</v>
      </c>
      <c r="J1956" s="87">
        <v>1.3260669033071055</v>
      </c>
      <c r="K1956" s="87">
        <v>5.6366019546360739</v>
      </c>
    </row>
    <row r="1957" spans="9:11" x14ac:dyDescent="0.25">
      <c r="I1957" s="86">
        <v>1956</v>
      </c>
      <c r="J1957" s="87">
        <v>1.6220507854341868</v>
      </c>
      <c r="K1957" s="87">
        <v>8.9933433928816733</v>
      </c>
    </row>
    <row r="1958" spans="9:11" x14ac:dyDescent="0.25">
      <c r="I1958" s="86">
        <v>1957</v>
      </c>
      <c r="J1958" s="87">
        <v>8.2353901586133684</v>
      </c>
      <c r="K1958" s="87">
        <v>9.958183047641155</v>
      </c>
    </row>
    <row r="1959" spans="9:11" x14ac:dyDescent="0.25">
      <c r="I1959" s="86">
        <v>1958</v>
      </c>
      <c r="J1959" s="87">
        <v>1.9373400184971041</v>
      </c>
      <c r="K1959" s="87">
        <v>9.0101099230946904</v>
      </c>
    </row>
    <row r="1960" spans="9:11" x14ac:dyDescent="0.25">
      <c r="I1960" s="86">
        <v>1959</v>
      </c>
      <c r="J1960" s="87">
        <v>1.5035301535739718</v>
      </c>
      <c r="K1960" s="87">
        <v>6.6814030682223349</v>
      </c>
    </row>
    <row r="1961" spans="9:11" x14ac:dyDescent="0.25">
      <c r="I1961" s="86">
        <v>1960</v>
      </c>
      <c r="J1961" s="87">
        <v>3.7103867503056822</v>
      </c>
      <c r="K1961" s="87">
        <v>9.3755852779806776</v>
      </c>
    </row>
    <row r="1962" spans="9:11" x14ac:dyDescent="0.25">
      <c r="I1962" s="86">
        <v>1961</v>
      </c>
      <c r="J1962" s="87">
        <v>1.4586408522510039</v>
      </c>
      <c r="K1962" s="87">
        <v>6.3054390707419836</v>
      </c>
    </row>
    <row r="1963" spans="9:11" x14ac:dyDescent="0.25">
      <c r="I1963" s="86">
        <v>1962</v>
      </c>
      <c r="J1963" s="87">
        <v>2.9292349089282732</v>
      </c>
      <c r="K1963" s="87">
        <v>9.9314471586761357</v>
      </c>
    </row>
    <row r="1964" spans="9:11" x14ac:dyDescent="0.25">
      <c r="I1964" s="86">
        <v>1963</v>
      </c>
      <c r="J1964" s="87">
        <v>0.93387585990482869</v>
      </c>
      <c r="K1964" s="87">
        <v>6.9308870734729462</v>
      </c>
    </row>
    <row r="1965" spans="9:11" x14ac:dyDescent="0.25">
      <c r="I1965" s="86">
        <v>1964</v>
      </c>
      <c r="J1965" s="87">
        <v>-0.32699956758602511</v>
      </c>
      <c r="K1965" s="87">
        <v>6.5851891980949651</v>
      </c>
    </row>
    <row r="1966" spans="9:11" x14ac:dyDescent="0.25">
      <c r="I1966" s="86">
        <v>1965</v>
      </c>
      <c r="J1966" s="87">
        <v>0.93091826945836953</v>
      </c>
      <c r="K1966" s="87">
        <v>8.3925055349991649</v>
      </c>
    </row>
    <row r="1967" spans="9:11" x14ac:dyDescent="0.25">
      <c r="I1967" s="86">
        <v>1966</v>
      </c>
      <c r="J1967" s="87">
        <v>-0.70047943961262327</v>
      </c>
      <c r="K1967" s="87">
        <v>5.2709774985732043</v>
      </c>
    </row>
    <row r="1968" spans="9:11" x14ac:dyDescent="0.25">
      <c r="I1968" s="86">
        <v>1967</v>
      </c>
      <c r="J1968" s="87">
        <v>1.6078683270419152</v>
      </c>
      <c r="K1968" s="87">
        <v>5.4943182094788741</v>
      </c>
    </row>
    <row r="1969" spans="9:11" x14ac:dyDescent="0.25">
      <c r="I1969" s="86">
        <v>1968</v>
      </c>
      <c r="J1969" s="87">
        <v>1.8922426687579117</v>
      </c>
      <c r="K1969" s="87">
        <v>8.3122749489968566</v>
      </c>
    </row>
    <row r="1970" spans="9:11" x14ac:dyDescent="0.25">
      <c r="I1970" s="86">
        <v>1969</v>
      </c>
      <c r="J1970" s="87">
        <v>1.3567053399832254</v>
      </c>
      <c r="K1970" s="87">
        <v>7.7897371714983832</v>
      </c>
    </row>
    <row r="1971" spans="9:11" x14ac:dyDescent="0.25">
      <c r="I1971" s="86">
        <v>1970</v>
      </c>
      <c r="J1971" s="87">
        <v>2.3976734605449392</v>
      </c>
      <c r="K1971" s="87">
        <v>6.1105634012237546</v>
      </c>
    </row>
    <row r="1972" spans="9:11" x14ac:dyDescent="0.25">
      <c r="I1972" s="86">
        <v>1971</v>
      </c>
      <c r="J1972" s="87">
        <v>5.7396035541228354</v>
      </c>
      <c r="K1972" s="87">
        <v>9.6460820937416631</v>
      </c>
    </row>
    <row r="1973" spans="9:11" x14ac:dyDescent="0.25">
      <c r="I1973" s="86">
        <v>1972</v>
      </c>
      <c r="J1973" s="87">
        <v>-0.36404797711975334</v>
      </c>
      <c r="K1973" s="87">
        <v>5.8971676652587064</v>
      </c>
    </row>
    <row r="1974" spans="9:11" x14ac:dyDescent="0.25">
      <c r="I1974" s="86">
        <v>1973</v>
      </c>
      <c r="J1974" s="87">
        <v>0.54753924205181681</v>
      </c>
      <c r="K1974" s="87">
        <v>5.1035399953412144</v>
      </c>
    </row>
    <row r="1975" spans="9:11" x14ac:dyDescent="0.25">
      <c r="I1975" s="86">
        <v>1974</v>
      </c>
      <c r="J1975" s="87">
        <v>0.921256979996111</v>
      </c>
      <c r="K1975" s="87">
        <v>5.7006619891061572</v>
      </c>
    </row>
    <row r="1976" spans="9:11" x14ac:dyDescent="0.25">
      <c r="I1976" s="86">
        <v>1975</v>
      </c>
      <c r="J1976" s="87">
        <v>3.4605297744988164</v>
      </c>
      <c r="K1976" s="87">
        <v>8.8608311700131814</v>
      </c>
    </row>
    <row r="1977" spans="9:11" x14ac:dyDescent="0.25">
      <c r="I1977" s="86">
        <v>1976</v>
      </c>
      <c r="J1977" s="87">
        <v>1.7738781293999697</v>
      </c>
      <c r="K1977" s="87">
        <v>6.4251031230677826</v>
      </c>
    </row>
    <row r="1978" spans="9:11" x14ac:dyDescent="0.25">
      <c r="I1978" s="86">
        <v>1977</v>
      </c>
      <c r="J1978" s="87">
        <v>4.0047838355502314</v>
      </c>
      <c r="K1978" s="87">
        <v>4.0225388388524967</v>
      </c>
    </row>
    <row r="1979" spans="9:11" x14ac:dyDescent="0.25">
      <c r="I1979" s="86">
        <v>1978</v>
      </c>
      <c r="J1979" s="87">
        <v>1.6310875842843116</v>
      </c>
      <c r="K1979" s="87">
        <v>6.8945851220160117</v>
      </c>
    </row>
    <row r="1980" spans="9:11" x14ac:dyDescent="0.25">
      <c r="I1980" s="86">
        <v>1979</v>
      </c>
      <c r="J1980" s="87">
        <v>1.7732686317526918</v>
      </c>
      <c r="K1980" s="87">
        <v>8.2355882129290592</v>
      </c>
    </row>
    <row r="1981" spans="9:11" x14ac:dyDescent="0.25">
      <c r="I1981" s="86">
        <v>1980</v>
      </c>
      <c r="J1981" s="87">
        <v>2.2323444743454752</v>
      </c>
      <c r="K1981" s="87">
        <v>8.3686862514075209</v>
      </c>
    </row>
    <row r="1982" spans="9:11" x14ac:dyDescent="0.25">
      <c r="I1982" s="86">
        <v>1981</v>
      </c>
      <c r="J1982" s="87">
        <v>1.8834719612602955</v>
      </c>
      <c r="K1982" s="87">
        <v>6.2336311926338004</v>
      </c>
    </row>
    <row r="1983" spans="9:11" x14ac:dyDescent="0.25">
      <c r="I1983" s="86">
        <v>1982</v>
      </c>
      <c r="J1983" s="87">
        <v>11.080766861207017</v>
      </c>
      <c r="K1983" s="87">
        <v>13.167197306006271</v>
      </c>
    </row>
    <row r="1984" spans="9:11" x14ac:dyDescent="0.25">
      <c r="I1984" s="86">
        <v>1983</v>
      </c>
      <c r="J1984" s="87">
        <v>4.2218825526101558</v>
      </c>
      <c r="K1984" s="87">
        <v>10.540456785364</v>
      </c>
    </row>
    <row r="1985" spans="9:11" x14ac:dyDescent="0.25">
      <c r="I1985" s="86">
        <v>1984</v>
      </c>
      <c r="J1985" s="87">
        <v>1.4518181897448432</v>
      </c>
      <c r="K1985" s="87">
        <v>6.9629339695026395</v>
      </c>
    </row>
    <row r="1986" spans="9:11" x14ac:dyDescent="0.25">
      <c r="I1986" s="86">
        <v>1985</v>
      </c>
      <c r="J1986" s="87">
        <v>0.209142704855517</v>
      </c>
      <c r="K1986" s="87">
        <v>5.5314449481319672</v>
      </c>
    </row>
    <row r="1987" spans="9:11" x14ac:dyDescent="0.25">
      <c r="I1987" s="86">
        <v>1986</v>
      </c>
      <c r="J1987" s="87">
        <v>-0.19786320193301421</v>
      </c>
      <c r="K1987" s="87">
        <v>4.5385144051184287</v>
      </c>
    </row>
    <row r="1988" spans="9:11" x14ac:dyDescent="0.25">
      <c r="I1988" s="86">
        <v>1987</v>
      </c>
      <c r="J1988" s="87">
        <v>4.0205854688420004</v>
      </c>
      <c r="K1988" s="87">
        <v>7.3114249360108055</v>
      </c>
    </row>
    <row r="1989" spans="9:11" x14ac:dyDescent="0.25">
      <c r="I1989" s="86">
        <v>1988</v>
      </c>
      <c r="J1989" s="87">
        <v>5.4147202094149263</v>
      </c>
      <c r="K1989" s="87">
        <v>9.1971608547801775</v>
      </c>
    </row>
    <row r="1990" spans="9:11" x14ac:dyDescent="0.25">
      <c r="I1990" s="86">
        <v>1989</v>
      </c>
      <c r="J1990" s="87">
        <v>0.14927905202617531</v>
      </c>
      <c r="K1990" s="87">
        <v>7.7274433059378929</v>
      </c>
    </row>
    <row r="1991" spans="9:11" x14ac:dyDescent="0.25">
      <c r="I1991" s="86">
        <v>1990</v>
      </c>
      <c r="J1991" s="87">
        <v>1.4308164844608351</v>
      </c>
      <c r="K1991" s="87">
        <v>6.9834846541816606</v>
      </c>
    </row>
    <row r="1992" spans="9:11" x14ac:dyDescent="0.25">
      <c r="I1992" s="86">
        <v>1991</v>
      </c>
      <c r="J1992" s="87">
        <v>1.93119615424418</v>
      </c>
      <c r="K1992" s="87">
        <v>7.2316679145017737</v>
      </c>
    </row>
    <row r="1993" spans="9:11" x14ac:dyDescent="0.25">
      <c r="I1993" s="86">
        <v>1992</v>
      </c>
      <c r="J1993" s="87">
        <v>0.64164430345988954</v>
      </c>
      <c r="K1993" s="87">
        <v>5.7714874480605669</v>
      </c>
    </row>
    <row r="1994" spans="9:11" x14ac:dyDescent="0.25">
      <c r="I1994" s="86">
        <v>1993</v>
      </c>
      <c r="J1994" s="87">
        <v>-0.14394792813409873</v>
      </c>
      <c r="K1994" s="87">
        <v>4.467247655338169</v>
      </c>
    </row>
    <row r="1995" spans="9:11" x14ac:dyDescent="0.25">
      <c r="I1995" s="86">
        <v>1994</v>
      </c>
      <c r="J1995" s="87">
        <v>0.66664830499822969</v>
      </c>
      <c r="K1995" s="87">
        <v>6.4171574764257384</v>
      </c>
    </row>
    <row r="1996" spans="9:11" x14ac:dyDescent="0.25">
      <c r="I1996" s="86">
        <v>1995</v>
      </c>
      <c r="J1996" s="87">
        <v>2.7392785394244825</v>
      </c>
      <c r="K1996" s="87">
        <v>7.6410196222345492</v>
      </c>
    </row>
    <row r="1997" spans="9:11" x14ac:dyDescent="0.25">
      <c r="I1997" s="86">
        <v>1996</v>
      </c>
      <c r="J1997" s="87">
        <v>3.0564884199487752</v>
      </c>
      <c r="K1997" s="87">
        <v>6.0975529820910639</v>
      </c>
    </row>
    <row r="1998" spans="9:11" x14ac:dyDescent="0.25">
      <c r="I1998" s="86">
        <v>1997</v>
      </c>
      <c r="J1998" s="87">
        <v>1.8950325180061176</v>
      </c>
      <c r="K1998" s="87">
        <v>6.9056241671212515</v>
      </c>
    </row>
    <row r="1999" spans="9:11" x14ac:dyDescent="0.25">
      <c r="I1999" s="86">
        <v>1998</v>
      </c>
      <c r="J1999" s="87">
        <v>0.18355949355805556</v>
      </c>
      <c r="K1999" s="87">
        <v>6.7324120109987309</v>
      </c>
    </row>
    <row r="2000" spans="9:11" x14ac:dyDescent="0.25">
      <c r="I2000" s="86">
        <v>1999</v>
      </c>
      <c r="J2000" s="87">
        <v>1.7931206747460537</v>
      </c>
      <c r="K2000" s="87">
        <v>7.2093484081794479</v>
      </c>
    </row>
    <row r="2001" spans="9:11" x14ac:dyDescent="0.25">
      <c r="I2001" s="86">
        <v>2000</v>
      </c>
      <c r="J2001" s="87">
        <v>-1.3332353955204668</v>
      </c>
      <c r="K2001" s="87">
        <v>4.5019441137920007</v>
      </c>
    </row>
    <row r="2002" spans="9:11" x14ac:dyDescent="0.25">
      <c r="I2002" s="86">
        <v>2001</v>
      </c>
      <c r="J2002" s="87">
        <v>0.7845926884572112</v>
      </c>
      <c r="K2002" s="87">
        <v>7.0117891631772844</v>
      </c>
    </row>
    <row r="2003" spans="9:11" x14ac:dyDescent="0.25">
      <c r="I2003" s="86">
        <v>2002</v>
      </c>
      <c r="J2003" s="87">
        <v>12.641935812493358</v>
      </c>
      <c r="K2003" s="87">
        <v>14.626588555425084</v>
      </c>
    </row>
    <row r="2004" spans="9:11" x14ac:dyDescent="0.25">
      <c r="I2004" s="86">
        <v>2003</v>
      </c>
      <c r="J2004" s="87">
        <v>3.5054063608287693</v>
      </c>
      <c r="K2004" s="87">
        <v>6.7584751002684946</v>
      </c>
    </row>
    <row r="2005" spans="9:11" x14ac:dyDescent="0.25">
      <c r="I2005" s="86">
        <v>2004</v>
      </c>
      <c r="J2005" s="87">
        <v>-1.0511320148481351</v>
      </c>
      <c r="K2005" s="87">
        <v>5.9509651743800163</v>
      </c>
    </row>
    <row r="2006" spans="9:11" x14ac:dyDescent="0.25">
      <c r="I2006" s="86">
        <v>2005</v>
      </c>
      <c r="J2006" s="87">
        <v>0.59481277968793167</v>
      </c>
      <c r="K2006" s="87">
        <v>5.4608644055968893</v>
      </c>
    </row>
    <row r="2007" spans="9:11" x14ac:dyDescent="0.25">
      <c r="I2007" s="86">
        <v>2006</v>
      </c>
      <c r="J2007" s="87">
        <v>-0.43835368223980087</v>
      </c>
      <c r="K2007" s="87">
        <v>5.3099274271911119</v>
      </c>
    </row>
    <row r="2008" spans="9:11" x14ac:dyDescent="0.25">
      <c r="I2008" s="86">
        <v>2007</v>
      </c>
      <c r="J2008" s="87">
        <v>1.8982318628883865</v>
      </c>
      <c r="K2008" s="87">
        <v>7.5038076584492561</v>
      </c>
    </row>
    <row r="2009" spans="9:11" x14ac:dyDescent="0.25">
      <c r="I2009" s="86">
        <v>2008</v>
      </c>
      <c r="J2009" s="87">
        <v>2.0490327297636686</v>
      </c>
      <c r="K2009" s="87">
        <v>6.5368210718396194</v>
      </c>
    </row>
    <row r="2010" spans="9:11" x14ac:dyDescent="0.25">
      <c r="I2010" s="86">
        <v>2009</v>
      </c>
      <c r="J2010" s="87">
        <v>-0.61547316903513227</v>
      </c>
      <c r="K2010" s="87">
        <v>7.0090253345364602</v>
      </c>
    </row>
    <row r="2011" spans="9:11" x14ac:dyDescent="0.25">
      <c r="I2011" s="86">
        <v>2010</v>
      </c>
      <c r="J2011" s="87">
        <v>1.3584393228829477</v>
      </c>
      <c r="K2011" s="87">
        <v>6.0769576435727126</v>
      </c>
    </row>
    <row r="2012" spans="9:11" x14ac:dyDescent="0.25">
      <c r="I2012" s="86">
        <v>2011</v>
      </c>
      <c r="J2012" s="87">
        <v>6.2219798935183279</v>
      </c>
      <c r="K2012" s="87">
        <v>8.7327984509654932</v>
      </c>
    </row>
    <row r="2013" spans="9:11" x14ac:dyDescent="0.25">
      <c r="I2013" s="86">
        <v>2012</v>
      </c>
      <c r="J2013" s="87">
        <v>2.4189430482958993</v>
      </c>
      <c r="K2013" s="87">
        <v>6.7285363599104517</v>
      </c>
    </row>
    <row r="2014" spans="9:11" x14ac:dyDescent="0.25">
      <c r="I2014" s="86">
        <v>2013</v>
      </c>
      <c r="J2014" s="87">
        <v>2.2660052973592233</v>
      </c>
      <c r="K2014" s="87">
        <v>6.2317664880847428</v>
      </c>
    </row>
    <row r="2015" spans="9:11" x14ac:dyDescent="0.25">
      <c r="I2015" s="86">
        <v>2014</v>
      </c>
      <c r="J2015" s="87">
        <v>3.0490732807831655</v>
      </c>
      <c r="K2015" s="87">
        <v>10.24505591531763</v>
      </c>
    </row>
    <row r="2016" spans="9:11" x14ac:dyDescent="0.25">
      <c r="I2016" s="86">
        <v>2015</v>
      </c>
      <c r="J2016" s="87">
        <v>2.1750757307002386</v>
      </c>
      <c r="K2016" s="87">
        <v>7.3362784037899944</v>
      </c>
    </row>
    <row r="2017" spans="9:11" x14ac:dyDescent="0.25">
      <c r="I2017" s="86">
        <v>2016</v>
      </c>
      <c r="J2017" s="87">
        <v>-0.60455681651701099</v>
      </c>
      <c r="K2017" s="87">
        <v>5.4642746176897585</v>
      </c>
    </row>
    <row r="2018" spans="9:11" x14ac:dyDescent="0.25">
      <c r="I2018" s="86">
        <v>2017</v>
      </c>
      <c r="J2018" s="87">
        <v>1.303803770976387</v>
      </c>
      <c r="K2018" s="87">
        <v>6.0240878957979049</v>
      </c>
    </row>
    <row r="2019" spans="9:11" x14ac:dyDescent="0.25">
      <c r="I2019" s="86">
        <v>2018</v>
      </c>
      <c r="J2019" s="87">
        <v>2.8168737478509227</v>
      </c>
      <c r="K2019" s="87">
        <v>6.2971067316886931</v>
      </c>
    </row>
    <row r="2020" spans="9:11" x14ac:dyDescent="0.25">
      <c r="I2020" s="86">
        <v>2019</v>
      </c>
      <c r="J2020" s="87">
        <v>-0.20184117810807756</v>
      </c>
      <c r="K2020" s="87">
        <v>5.6198623254435107</v>
      </c>
    </row>
    <row r="2021" spans="9:11" x14ac:dyDescent="0.25">
      <c r="I2021" s="86">
        <v>2020</v>
      </c>
      <c r="J2021" s="87">
        <v>-1.6321940409961044E-2</v>
      </c>
      <c r="K2021" s="87">
        <v>5.0221139007180682</v>
      </c>
    </row>
    <row r="2022" spans="9:11" x14ac:dyDescent="0.25">
      <c r="I2022" s="86">
        <v>2021</v>
      </c>
      <c r="J2022" s="87">
        <v>4.235691304004896</v>
      </c>
      <c r="K2022" s="87">
        <v>8.3444301618754508</v>
      </c>
    </row>
    <row r="2023" spans="9:11" x14ac:dyDescent="0.25">
      <c r="I2023" s="86">
        <v>2022</v>
      </c>
      <c r="J2023" s="87">
        <v>-0.63752889862705153</v>
      </c>
      <c r="K2023" s="87">
        <v>5.1478343804218252</v>
      </c>
    </row>
    <row r="2024" spans="9:11" x14ac:dyDescent="0.25">
      <c r="I2024" s="86">
        <v>2023</v>
      </c>
      <c r="J2024" s="87">
        <v>2.3267207152723044</v>
      </c>
      <c r="K2024" s="87">
        <v>7.082310381493631</v>
      </c>
    </row>
    <row r="2025" spans="9:11" x14ac:dyDescent="0.25">
      <c r="I2025" s="86">
        <v>2024</v>
      </c>
      <c r="J2025" s="87">
        <v>4.3165907551045173</v>
      </c>
      <c r="K2025" s="87">
        <v>10.014225093589305</v>
      </c>
    </row>
    <row r="2026" spans="9:11" x14ac:dyDescent="0.25">
      <c r="I2026" s="86">
        <v>2025</v>
      </c>
      <c r="J2026" s="87">
        <v>0.45339178842349348</v>
      </c>
      <c r="K2026" s="87">
        <v>6.6749012441459081</v>
      </c>
    </row>
    <row r="2027" spans="9:11" x14ac:dyDescent="0.25">
      <c r="I2027" s="86">
        <v>2026</v>
      </c>
      <c r="J2027" s="87">
        <v>0.86654769022494449</v>
      </c>
      <c r="K2027" s="87">
        <v>6.3001934942022517</v>
      </c>
    </row>
    <row r="2028" spans="9:11" x14ac:dyDescent="0.25">
      <c r="I2028" s="86">
        <v>2027</v>
      </c>
      <c r="J2028" s="87">
        <v>4.2423445765258885</v>
      </c>
      <c r="K2028" s="87">
        <v>8.6557885846812912</v>
      </c>
    </row>
    <row r="2029" spans="9:11" x14ac:dyDescent="0.25">
      <c r="I2029" s="86">
        <v>2028</v>
      </c>
      <c r="J2029" s="87">
        <v>3.358001906830097</v>
      </c>
      <c r="K2029" s="87">
        <v>11.107123316779818</v>
      </c>
    </row>
    <row r="2030" spans="9:11" x14ac:dyDescent="0.25">
      <c r="I2030" s="86">
        <v>2029</v>
      </c>
      <c r="J2030" s="87">
        <v>2.0127561707683581</v>
      </c>
      <c r="K2030" s="87">
        <v>8.1416359140835706</v>
      </c>
    </row>
    <row r="2031" spans="9:11" x14ac:dyDescent="0.25">
      <c r="I2031" s="86">
        <v>2030</v>
      </c>
      <c r="J2031" s="87">
        <v>0.1882092642921207</v>
      </c>
      <c r="K2031" s="87">
        <v>4.9671144347215366</v>
      </c>
    </row>
    <row r="2032" spans="9:11" x14ac:dyDescent="0.25">
      <c r="I2032" s="86">
        <v>2031</v>
      </c>
      <c r="J2032" s="87">
        <v>3.1923358691565449</v>
      </c>
      <c r="K2032" s="87">
        <v>8.3789507497969034</v>
      </c>
    </row>
    <row r="2033" spans="9:11" x14ac:dyDescent="0.25">
      <c r="I2033" s="86">
        <v>2032</v>
      </c>
      <c r="J2033" s="87">
        <v>0.18298919914910172</v>
      </c>
      <c r="K2033" s="87">
        <v>6.6750200366233772</v>
      </c>
    </row>
    <row r="2034" spans="9:11" x14ac:dyDescent="0.25">
      <c r="I2034" s="86">
        <v>2033</v>
      </c>
      <c r="J2034" s="87">
        <v>0.65253734799593488</v>
      </c>
      <c r="K2034" s="87">
        <v>5.8467744895876956</v>
      </c>
    </row>
    <row r="2035" spans="9:11" x14ac:dyDescent="0.25">
      <c r="I2035" s="86">
        <v>2034</v>
      </c>
      <c r="J2035" s="87">
        <v>1.2650881221598684</v>
      </c>
      <c r="K2035" s="87">
        <v>4.898278523865919</v>
      </c>
    </row>
    <row r="2036" spans="9:11" x14ac:dyDescent="0.25">
      <c r="I2036" s="86">
        <v>2035</v>
      </c>
      <c r="J2036" s="87">
        <v>2.8886992565273015</v>
      </c>
      <c r="K2036" s="87">
        <v>6.5084689499584938</v>
      </c>
    </row>
    <row r="2037" spans="9:11" x14ac:dyDescent="0.25">
      <c r="I2037" s="86">
        <v>2036</v>
      </c>
      <c r="J2037" s="87">
        <v>1.3951753355344207</v>
      </c>
      <c r="K2037" s="87">
        <v>6.3104593766623971</v>
      </c>
    </row>
    <row r="2038" spans="9:11" x14ac:dyDescent="0.25">
      <c r="I2038" s="86">
        <v>2037</v>
      </c>
      <c r="J2038" s="87">
        <v>0.9996778294502473</v>
      </c>
      <c r="K2038" s="87">
        <v>6.5495583786562266</v>
      </c>
    </row>
    <row r="2039" spans="9:11" x14ac:dyDescent="0.25">
      <c r="I2039" s="86">
        <v>2038</v>
      </c>
      <c r="J2039" s="87">
        <v>2.4712572724415782</v>
      </c>
      <c r="K2039" s="87">
        <v>10.624461979587014</v>
      </c>
    </row>
    <row r="2040" spans="9:11" x14ac:dyDescent="0.25">
      <c r="I2040" s="86">
        <v>2039</v>
      </c>
      <c r="J2040" s="87">
        <v>0.85744407118553934</v>
      </c>
      <c r="K2040" s="87">
        <v>6.6571264349485633</v>
      </c>
    </row>
    <row r="2041" spans="9:11" x14ac:dyDescent="0.25">
      <c r="I2041" s="86">
        <v>2040</v>
      </c>
      <c r="J2041" s="87">
        <v>1.1423366103778649</v>
      </c>
      <c r="K2041" s="87">
        <v>6.3632971628008699</v>
      </c>
    </row>
    <row r="2042" spans="9:11" x14ac:dyDescent="0.25">
      <c r="I2042" s="86">
        <v>2041</v>
      </c>
      <c r="J2042" s="87">
        <v>3.0992100876280233</v>
      </c>
      <c r="K2042" s="87">
        <v>7.2039640742954933</v>
      </c>
    </row>
    <row r="2043" spans="9:11" x14ac:dyDescent="0.25">
      <c r="I2043" s="86">
        <v>2042</v>
      </c>
      <c r="J2043" s="87">
        <v>2.9864680422403076</v>
      </c>
      <c r="K2043" s="87">
        <v>7.8773797526354636</v>
      </c>
    </row>
    <row r="2044" spans="9:11" x14ac:dyDescent="0.25">
      <c r="I2044" s="86">
        <v>2043</v>
      </c>
      <c r="J2044" s="87">
        <v>2.8071780107193494</v>
      </c>
      <c r="K2044" s="87">
        <v>7.0101935493349172</v>
      </c>
    </row>
    <row r="2045" spans="9:11" x14ac:dyDescent="0.25">
      <c r="I2045" s="86">
        <v>2044</v>
      </c>
      <c r="J2045" s="87">
        <v>1.0564618908071335</v>
      </c>
      <c r="K2045" s="87">
        <v>5.0861649022577957</v>
      </c>
    </row>
    <row r="2046" spans="9:11" x14ac:dyDescent="0.25">
      <c r="I2046" s="86">
        <v>2045</v>
      </c>
      <c r="J2046" s="87">
        <v>1.4173602699255774</v>
      </c>
      <c r="K2046" s="87">
        <v>6.6761055412708634</v>
      </c>
    </row>
    <row r="2047" spans="9:11" x14ac:dyDescent="0.25">
      <c r="I2047" s="86">
        <v>2046</v>
      </c>
      <c r="J2047" s="87">
        <v>1.9844623698879253</v>
      </c>
      <c r="K2047" s="87">
        <v>6.944639758331177</v>
      </c>
    </row>
    <row r="2048" spans="9:11" x14ac:dyDescent="0.25">
      <c r="I2048" s="86">
        <v>2047</v>
      </c>
      <c r="J2048" s="87">
        <v>1.2920471589556586</v>
      </c>
      <c r="K2048" s="87">
        <v>5.5045470624250745</v>
      </c>
    </row>
    <row r="2049" spans="9:11" x14ac:dyDescent="0.25">
      <c r="I2049" s="86">
        <v>2048</v>
      </c>
      <c r="J2049" s="87">
        <v>0.2253745378873111</v>
      </c>
      <c r="K2049" s="87">
        <v>7.7207515171381589</v>
      </c>
    </row>
    <row r="2050" spans="9:11" x14ac:dyDescent="0.25">
      <c r="I2050" s="86">
        <v>2049</v>
      </c>
      <c r="J2050" s="87">
        <v>3.4376211003358561</v>
      </c>
      <c r="K2050" s="87">
        <v>8.2966409454017178</v>
      </c>
    </row>
    <row r="2051" spans="9:11" x14ac:dyDescent="0.25">
      <c r="I2051" s="86">
        <v>2050</v>
      </c>
      <c r="J2051" s="87">
        <v>-0.86583639733102569</v>
      </c>
      <c r="K2051" s="87">
        <v>5.8431585987505832</v>
      </c>
    </row>
    <row r="2052" spans="9:11" x14ac:dyDescent="0.25">
      <c r="I2052" s="86">
        <v>2051</v>
      </c>
      <c r="J2052" s="87">
        <v>1.1116332044454675</v>
      </c>
      <c r="K2052" s="87">
        <v>5.5075851277792101</v>
      </c>
    </row>
    <row r="2053" spans="9:11" x14ac:dyDescent="0.25">
      <c r="I2053" s="86">
        <v>2052</v>
      </c>
      <c r="J2053" s="87">
        <v>0.87708037358929225</v>
      </c>
      <c r="K2053" s="87">
        <v>6.7228191141221911</v>
      </c>
    </row>
    <row r="2054" spans="9:11" x14ac:dyDescent="0.25">
      <c r="I2054" s="86">
        <v>2053</v>
      </c>
      <c r="J2054" s="87">
        <v>3.2144367505545484</v>
      </c>
      <c r="K2054" s="87">
        <v>7.8274170152079101</v>
      </c>
    </row>
    <row r="2055" spans="9:11" x14ac:dyDescent="0.25">
      <c r="I2055" s="86">
        <v>2054</v>
      </c>
      <c r="J2055" s="87">
        <v>5.6187897756686667</v>
      </c>
      <c r="K2055" s="87">
        <v>9.9780065436677958</v>
      </c>
    </row>
    <row r="2056" spans="9:11" x14ac:dyDescent="0.25">
      <c r="I2056" s="86">
        <v>2055</v>
      </c>
      <c r="J2056" s="87">
        <v>1.6479838855112998</v>
      </c>
      <c r="K2056" s="87">
        <v>7.0437299881641326</v>
      </c>
    </row>
    <row r="2057" spans="9:11" x14ac:dyDescent="0.25">
      <c r="I2057" s="86">
        <v>2056</v>
      </c>
      <c r="J2057" s="87">
        <v>2.6623103078539767</v>
      </c>
      <c r="K2057" s="87">
        <v>8.0112166091971879</v>
      </c>
    </row>
    <row r="2058" spans="9:11" x14ac:dyDescent="0.25">
      <c r="I2058" s="86">
        <v>2057</v>
      </c>
      <c r="J2058" s="87">
        <v>2.4945812989012053</v>
      </c>
      <c r="K2058" s="87">
        <v>6.0497465080744552</v>
      </c>
    </row>
    <row r="2059" spans="9:11" x14ac:dyDescent="0.25">
      <c r="I2059" s="86">
        <v>2058</v>
      </c>
      <c r="J2059" s="87">
        <v>-5.8162308960691966E-2</v>
      </c>
      <c r="K2059" s="87">
        <v>6.1975280343861341</v>
      </c>
    </row>
    <row r="2060" spans="9:11" x14ac:dyDescent="0.25">
      <c r="I2060" s="86">
        <v>2059</v>
      </c>
      <c r="J2060" s="87">
        <v>2.1725780139779882</v>
      </c>
      <c r="K2060" s="87">
        <v>7.2035439661383212</v>
      </c>
    </row>
    <row r="2061" spans="9:11" x14ac:dyDescent="0.25">
      <c r="I2061" s="86">
        <v>2060</v>
      </c>
      <c r="J2061" s="87">
        <v>1.229765223247683</v>
      </c>
      <c r="K2061" s="87">
        <v>5.1165767299069582</v>
      </c>
    </row>
    <row r="2062" spans="9:11" x14ac:dyDescent="0.25">
      <c r="I2062" s="86">
        <v>2061</v>
      </c>
      <c r="J2062" s="87">
        <v>-1.2862790185559572</v>
      </c>
      <c r="K2062" s="87">
        <v>6.22962440229339</v>
      </c>
    </row>
    <row r="2063" spans="9:11" x14ac:dyDescent="0.25">
      <c r="I2063" s="86">
        <v>2062</v>
      </c>
      <c r="J2063" s="87">
        <v>1.2335705048914569</v>
      </c>
      <c r="K2063" s="87">
        <v>6.5628658586844635</v>
      </c>
    </row>
    <row r="2064" spans="9:11" x14ac:dyDescent="0.25">
      <c r="I2064" s="86">
        <v>2063</v>
      </c>
      <c r="J2064" s="87">
        <v>2.8767753558383351</v>
      </c>
      <c r="K2064" s="87">
        <v>9.8496218102079816</v>
      </c>
    </row>
    <row r="2065" spans="9:11" x14ac:dyDescent="0.25">
      <c r="I2065" s="86">
        <v>2064</v>
      </c>
      <c r="J2065" s="87">
        <v>-2.0764347055678201E-2</v>
      </c>
      <c r="K2065" s="87">
        <v>5.8148870674739008</v>
      </c>
    </row>
    <row r="2066" spans="9:11" x14ac:dyDescent="0.25">
      <c r="I2066" s="86">
        <v>2065</v>
      </c>
      <c r="J2066" s="87">
        <v>-2.3706352065048693</v>
      </c>
      <c r="K2066" s="87">
        <v>5.0194999841761136</v>
      </c>
    </row>
    <row r="2067" spans="9:11" x14ac:dyDescent="0.25">
      <c r="I2067" s="86">
        <v>2066</v>
      </c>
      <c r="J2067" s="87">
        <v>2.4656044123705367</v>
      </c>
      <c r="K2067" s="87">
        <v>6.8930089312589642</v>
      </c>
    </row>
    <row r="2068" spans="9:11" x14ac:dyDescent="0.25">
      <c r="I2068" s="86">
        <v>2067</v>
      </c>
      <c r="J2068" s="87">
        <v>1.4788416797923958</v>
      </c>
      <c r="K2068" s="87">
        <v>8.2921284449522989</v>
      </c>
    </row>
    <row r="2069" spans="9:11" x14ac:dyDescent="0.25">
      <c r="I2069" s="86">
        <v>2068</v>
      </c>
      <c r="J2069" s="87">
        <v>3.2000065390879389</v>
      </c>
      <c r="K2069" s="87">
        <v>6.1396317146286261</v>
      </c>
    </row>
    <row r="2070" spans="9:11" x14ac:dyDescent="0.25">
      <c r="I2070" s="86">
        <v>2069</v>
      </c>
      <c r="J2070" s="87">
        <v>-1.1213763712495162</v>
      </c>
      <c r="K2070" s="87">
        <v>5.44457000110084</v>
      </c>
    </row>
    <row r="2071" spans="9:11" x14ac:dyDescent="0.25">
      <c r="I2071" s="86">
        <v>2070</v>
      </c>
      <c r="J2071" s="87">
        <v>-6.4816621013771503E-2</v>
      </c>
      <c r="K2071" s="87">
        <v>7.8248315446339758</v>
      </c>
    </row>
    <row r="2072" spans="9:11" x14ac:dyDescent="0.25">
      <c r="I2072" s="86">
        <v>2071</v>
      </c>
      <c r="J2072" s="87">
        <v>2.3130757559789217</v>
      </c>
      <c r="K2072" s="87">
        <v>7.9455259094732549</v>
      </c>
    </row>
    <row r="2073" spans="9:11" x14ac:dyDescent="0.25">
      <c r="I2073" s="86">
        <v>2072</v>
      </c>
      <c r="J2073" s="87">
        <v>3.384639771893271</v>
      </c>
      <c r="K2073" s="87">
        <v>8.099328611550817</v>
      </c>
    </row>
    <row r="2074" spans="9:11" x14ac:dyDescent="0.25">
      <c r="I2074" s="86">
        <v>2073</v>
      </c>
      <c r="J2074" s="87">
        <v>1.2545059775876286</v>
      </c>
      <c r="K2074" s="87">
        <v>7.1099791758747424</v>
      </c>
    </row>
    <row r="2075" spans="9:11" x14ac:dyDescent="0.25">
      <c r="I2075" s="86">
        <v>2074</v>
      </c>
      <c r="J2075" s="87">
        <v>0.1763588956409512</v>
      </c>
      <c r="K2075" s="87">
        <v>7.131882220491085</v>
      </c>
    </row>
    <row r="2076" spans="9:11" x14ac:dyDescent="0.25">
      <c r="I2076" s="86">
        <v>2075</v>
      </c>
      <c r="J2076" s="87">
        <v>-0.43332064784459057</v>
      </c>
      <c r="K2076" s="87">
        <v>4.6130970806367557</v>
      </c>
    </row>
    <row r="2077" spans="9:11" x14ac:dyDescent="0.25">
      <c r="I2077" s="86">
        <v>2076</v>
      </c>
      <c r="J2077" s="87">
        <v>2.9692883537206178</v>
      </c>
      <c r="K2077" s="87">
        <v>8.9228130023551042</v>
      </c>
    </row>
    <row r="2078" spans="9:11" x14ac:dyDescent="0.25">
      <c r="I2078" s="86">
        <v>2077</v>
      </c>
      <c r="J2078" s="87">
        <v>2.2945633902263713</v>
      </c>
      <c r="K2078" s="87">
        <v>8.1356172731990171</v>
      </c>
    </row>
    <row r="2079" spans="9:11" x14ac:dyDescent="0.25">
      <c r="I2079" s="86">
        <v>2078</v>
      </c>
      <c r="J2079" s="87">
        <v>1.3431583330675205</v>
      </c>
      <c r="K2079" s="87">
        <v>6.2014129073805675</v>
      </c>
    </row>
    <row r="2080" spans="9:11" x14ac:dyDescent="0.25">
      <c r="I2080" s="86">
        <v>2079</v>
      </c>
      <c r="J2080" s="87">
        <v>-0.53023996037413124</v>
      </c>
      <c r="K2080" s="87">
        <v>6.1377030398953059</v>
      </c>
    </row>
    <row r="2081" spans="9:11" x14ac:dyDescent="0.25">
      <c r="I2081" s="86">
        <v>2080</v>
      </c>
      <c r="J2081" s="87">
        <v>4.6267849754521038</v>
      </c>
      <c r="K2081" s="87">
        <v>9.6240185434676828</v>
      </c>
    </row>
    <row r="2082" spans="9:11" x14ac:dyDescent="0.25">
      <c r="I2082" s="86">
        <v>2081</v>
      </c>
      <c r="J2082" s="87">
        <v>8.1208743640277046</v>
      </c>
      <c r="K2082" s="87">
        <v>11.282092713379852</v>
      </c>
    </row>
    <row r="2083" spans="9:11" x14ac:dyDescent="0.25">
      <c r="I2083" s="86">
        <v>2082</v>
      </c>
      <c r="J2083" s="87">
        <v>-0.53453651921362244</v>
      </c>
      <c r="K2083" s="87">
        <v>4.5086611203700793</v>
      </c>
    </row>
    <row r="2084" spans="9:11" x14ac:dyDescent="0.25">
      <c r="I2084" s="86">
        <v>2083</v>
      </c>
      <c r="J2084" s="87">
        <v>1.2373771552742614</v>
      </c>
      <c r="K2084" s="87">
        <v>8.1944330937436902</v>
      </c>
    </row>
    <row r="2085" spans="9:11" x14ac:dyDescent="0.25">
      <c r="I2085" s="86">
        <v>2084</v>
      </c>
      <c r="J2085" s="87">
        <v>0.84188308837054304</v>
      </c>
      <c r="K2085" s="87">
        <v>6.0155620138463322</v>
      </c>
    </row>
    <row r="2086" spans="9:11" x14ac:dyDescent="0.25">
      <c r="I2086" s="86">
        <v>2085</v>
      </c>
      <c r="J2086" s="87">
        <v>1.7551048869938537</v>
      </c>
      <c r="K2086" s="87">
        <v>7.0185715469096319</v>
      </c>
    </row>
    <row r="2087" spans="9:11" x14ac:dyDescent="0.25">
      <c r="I2087" s="86">
        <v>2086</v>
      </c>
      <c r="J2087" s="87">
        <v>1.5936200099229092</v>
      </c>
      <c r="K2087" s="87">
        <v>7.774231700314683</v>
      </c>
    </row>
    <row r="2088" spans="9:11" x14ac:dyDescent="0.25">
      <c r="I2088" s="86">
        <v>2087</v>
      </c>
      <c r="J2088" s="87">
        <v>-0.50889209231776089</v>
      </c>
      <c r="K2088" s="87">
        <v>4.7872351069335792</v>
      </c>
    </row>
    <row r="2089" spans="9:11" x14ac:dyDescent="0.25">
      <c r="I2089" s="86">
        <v>2088</v>
      </c>
      <c r="J2089" s="87">
        <v>0.74000441936335681</v>
      </c>
      <c r="K2089" s="87">
        <v>5.5127808885806218</v>
      </c>
    </row>
    <row r="2090" spans="9:11" x14ac:dyDescent="0.25">
      <c r="I2090" s="86">
        <v>2089</v>
      </c>
      <c r="J2090" s="87">
        <v>6.1147364807685634</v>
      </c>
      <c r="K2090" s="87">
        <v>7.8527224365878752</v>
      </c>
    </row>
    <row r="2091" spans="9:11" x14ac:dyDescent="0.25">
      <c r="I2091" s="86">
        <v>2090</v>
      </c>
      <c r="J2091" s="87">
        <v>0.27798653260698103</v>
      </c>
      <c r="K2091" s="87">
        <v>5.8092816041829503</v>
      </c>
    </row>
    <row r="2092" spans="9:11" x14ac:dyDescent="0.25">
      <c r="I2092" s="86">
        <v>2091</v>
      </c>
      <c r="J2092" s="87">
        <v>-0.31584849869342868</v>
      </c>
      <c r="K2092" s="87">
        <v>4.7433942400742053</v>
      </c>
    </row>
    <row r="2093" spans="9:11" x14ac:dyDescent="0.25">
      <c r="I2093" s="86">
        <v>2092</v>
      </c>
      <c r="J2093" s="87">
        <v>2.896655577671031</v>
      </c>
      <c r="K2093" s="87">
        <v>6.4383199364862369</v>
      </c>
    </row>
    <row r="2094" spans="9:11" x14ac:dyDescent="0.25">
      <c r="I2094" s="86">
        <v>2093</v>
      </c>
      <c r="J2094" s="87">
        <v>0.65500102202492183</v>
      </c>
      <c r="K2094" s="87">
        <v>6.7998694665294277</v>
      </c>
    </row>
    <row r="2095" spans="9:11" x14ac:dyDescent="0.25">
      <c r="I2095" s="86">
        <v>2094</v>
      </c>
      <c r="J2095" s="87">
        <v>4.3373787090990277</v>
      </c>
      <c r="K2095" s="87">
        <v>10.52390338725132</v>
      </c>
    </row>
    <row r="2096" spans="9:11" x14ac:dyDescent="0.25">
      <c r="I2096" s="86">
        <v>2095</v>
      </c>
      <c r="J2096" s="87">
        <v>1.756753272143242</v>
      </c>
      <c r="K2096" s="87">
        <v>6.1075455363339382</v>
      </c>
    </row>
    <row r="2097" spans="9:11" x14ac:dyDescent="0.25">
      <c r="I2097" s="86">
        <v>2096</v>
      </c>
      <c r="J2097" s="87">
        <v>4.8599853962464135</v>
      </c>
      <c r="K2097" s="87">
        <v>7.9292517544759828</v>
      </c>
    </row>
    <row r="2098" spans="9:11" x14ac:dyDescent="0.25">
      <c r="I2098" s="86">
        <v>2097</v>
      </c>
      <c r="J2098" s="87">
        <v>2.9710427460486111</v>
      </c>
      <c r="K2098" s="87">
        <v>7.4138286936221798</v>
      </c>
    </row>
    <row r="2099" spans="9:11" x14ac:dyDescent="0.25">
      <c r="I2099" s="86">
        <v>2098</v>
      </c>
      <c r="J2099" s="87">
        <v>2.3692904515575384</v>
      </c>
      <c r="K2099" s="87">
        <v>6.6312245275619484</v>
      </c>
    </row>
    <row r="2100" spans="9:11" x14ac:dyDescent="0.25">
      <c r="I2100" s="86">
        <v>2099</v>
      </c>
      <c r="J2100" s="87">
        <v>-0.11479226186957359</v>
      </c>
      <c r="K2100" s="87">
        <v>7.1422282194409208</v>
      </c>
    </row>
    <row r="2101" spans="9:11" x14ac:dyDescent="0.25">
      <c r="I2101" s="86">
        <v>2100</v>
      </c>
      <c r="J2101" s="87">
        <v>3.5896622725099103</v>
      </c>
      <c r="K2101" s="87">
        <v>8.2520102714528676</v>
      </c>
    </row>
    <row r="2102" spans="9:11" x14ac:dyDescent="0.25">
      <c r="I2102" s="86">
        <v>2101</v>
      </c>
      <c r="J2102" s="87">
        <v>1.5231116776700366</v>
      </c>
      <c r="K2102" s="87">
        <v>7.6305309410008597</v>
      </c>
    </row>
    <row r="2103" spans="9:11" x14ac:dyDescent="0.25">
      <c r="I2103" s="86">
        <v>2102</v>
      </c>
      <c r="J2103" s="87">
        <v>6.1090240136643352</v>
      </c>
      <c r="K2103" s="87">
        <v>9.6420108346090974</v>
      </c>
    </row>
    <row r="2104" spans="9:11" x14ac:dyDescent="0.25">
      <c r="I2104" s="86">
        <v>2103</v>
      </c>
      <c r="J2104" s="87">
        <v>-1.1324083864333216</v>
      </c>
      <c r="K2104" s="87">
        <v>5.0302831075509786</v>
      </c>
    </row>
    <row r="2105" spans="9:11" x14ac:dyDescent="0.25">
      <c r="I2105" s="86">
        <v>2104</v>
      </c>
      <c r="J2105" s="87">
        <v>5.6795602112663879</v>
      </c>
      <c r="K2105" s="87">
        <v>9.4473625054131638</v>
      </c>
    </row>
    <row r="2106" spans="9:11" x14ac:dyDescent="0.25">
      <c r="I2106" s="86">
        <v>2105</v>
      </c>
      <c r="J2106" s="87">
        <v>2.1122123537063855</v>
      </c>
      <c r="K2106" s="87">
        <v>8.2941374134111108</v>
      </c>
    </row>
    <row r="2107" spans="9:11" x14ac:dyDescent="0.25">
      <c r="I2107" s="86">
        <v>2106</v>
      </c>
      <c r="J2107" s="87">
        <v>1.7524249992542664</v>
      </c>
      <c r="K2107" s="87">
        <v>6.7126692331276789</v>
      </c>
    </row>
    <row r="2108" spans="9:11" x14ac:dyDescent="0.25">
      <c r="I2108" s="86">
        <v>2107</v>
      </c>
      <c r="J2108" s="87">
        <v>0.1618806955500327</v>
      </c>
      <c r="K2108" s="87">
        <v>5.8190047650351717</v>
      </c>
    </row>
    <row r="2109" spans="9:11" x14ac:dyDescent="0.25">
      <c r="I2109" s="86">
        <v>2108</v>
      </c>
      <c r="J2109" s="87">
        <v>4.9864907577857647</v>
      </c>
      <c r="K2109" s="87">
        <v>8.9104209500468965</v>
      </c>
    </row>
    <row r="2110" spans="9:11" x14ac:dyDescent="0.25">
      <c r="I2110" s="86">
        <v>2109</v>
      </c>
      <c r="J2110" s="87">
        <v>0.28751143550559455</v>
      </c>
      <c r="K2110" s="87">
        <v>4.4193641734421574</v>
      </c>
    </row>
    <row r="2111" spans="9:11" x14ac:dyDescent="0.25">
      <c r="I2111" s="86">
        <v>2110</v>
      </c>
      <c r="J2111" s="87">
        <v>0.85524308135819815</v>
      </c>
      <c r="K2111" s="87">
        <v>7.1213902828577753</v>
      </c>
    </row>
    <row r="2112" spans="9:11" x14ac:dyDescent="0.25">
      <c r="I2112" s="86">
        <v>2111</v>
      </c>
      <c r="J2112" s="87">
        <v>0.11030494031460591</v>
      </c>
      <c r="K2112" s="87">
        <v>5.6347221118943711</v>
      </c>
    </row>
    <row r="2113" spans="9:11" x14ac:dyDescent="0.25">
      <c r="I2113" s="86">
        <v>2112</v>
      </c>
      <c r="J2113" s="87">
        <v>4.3889919257360077E-2</v>
      </c>
      <c r="K2113" s="87">
        <v>5.8529723520932304</v>
      </c>
    </row>
    <row r="2114" spans="9:11" x14ac:dyDescent="0.25">
      <c r="I2114" s="86">
        <v>2113</v>
      </c>
      <c r="J2114" s="87">
        <v>0.9050213313217057</v>
      </c>
      <c r="K2114" s="87">
        <v>6.1474062855756513</v>
      </c>
    </row>
    <row r="2115" spans="9:11" x14ac:dyDescent="0.25">
      <c r="I2115" s="86">
        <v>2114</v>
      </c>
      <c r="J2115" s="87">
        <v>-1.1054813251233355</v>
      </c>
      <c r="K2115" s="87">
        <v>5.9279772454888109</v>
      </c>
    </row>
    <row r="2116" spans="9:11" x14ac:dyDescent="0.25">
      <c r="I2116" s="86">
        <v>2115</v>
      </c>
      <c r="J2116" s="87">
        <v>3.6351473906240654</v>
      </c>
      <c r="K2116" s="87">
        <v>8.5068870677228379</v>
      </c>
    </row>
    <row r="2117" spans="9:11" x14ac:dyDescent="0.25">
      <c r="I2117" s="86">
        <v>2116</v>
      </c>
      <c r="J2117" s="87">
        <v>4.4331259729199139</v>
      </c>
      <c r="K2117" s="87">
        <v>8.7474107335462872</v>
      </c>
    </row>
    <row r="2118" spans="9:11" x14ac:dyDescent="0.25">
      <c r="I2118" s="86">
        <v>2117</v>
      </c>
      <c r="J2118" s="87">
        <v>1.8247398724437618</v>
      </c>
      <c r="K2118" s="87">
        <v>7.7781379647842011</v>
      </c>
    </row>
    <row r="2119" spans="9:11" x14ac:dyDescent="0.25">
      <c r="I2119" s="86">
        <v>2118</v>
      </c>
      <c r="J2119" s="87">
        <v>1.5191474018878042</v>
      </c>
      <c r="K2119" s="87">
        <v>6.9235358365381554</v>
      </c>
    </row>
    <row r="2120" spans="9:11" x14ac:dyDescent="0.25">
      <c r="I2120" s="86">
        <v>2119</v>
      </c>
      <c r="J2120" s="87">
        <v>1.1140187214822244</v>
      </c>
      <c r="K2120" s="87">
        <v>5.8324958426474742</v>
      </c>
    </row>
    <row r="2121" spans="9:11" x14ac:dyDescent="0.25">
      <c r="I2121" s="86">
        <v>2120</v>
      </c>
      <c r="J2121" s="87">
        <v>2.2429534475608621</v>
      </c>
      <c r="K2121" s="87">
        <v>6.6243061284808302</v>
      </c>
    </row>
    <row r="2122" spans="9:11" x14ac:dyDescent="0.25">
      <c r="I2122" s="86">
        <v>2121</v>
      </c>
      <c r="J2122" s="87">
        <v>-2.1443845126830561</v>
      </c>
      <c r="K2122" s="87">
        <v>4.8076561853215294</v>
      </c>
    </row>
    <row r="2123" spans="9:11" x14ac:dyDescent="0.25">
      <c r="I2123" s="86">
        <v>2122</v>
      </c>
      <c r="J2123" s="87">
        <v>0.86351502897263632</v>
      </c>
      <c r="K2123" s="87">
        <v>6.509561661950535</v>
      </c>
    </row>
    <row r="2124" spans="9:11" x14ac:dyDescent="0.25">
      <c r="I2124" s="86">
        <v>2123</v>
      </c>
      <c r="J2124" s="87">
        <v>3.9984434779054014</v>
      </c>
      <c r="K2124" s="87">
        <v>9.2261093859411272</v>
      </c>
    </row>
    <row r="2125" spans="9:11" x14ac:dyDescent="0.25">
      <c r="I2125" s="86">
        <v>2124</v>
      </c>
      <c r="J2125" s="87">
        <v>-1.0956947574269678</v>
      </c>
      <c r="K2125" s="87">
        <v>4.6781369675772657</v>
      </c>
    </row>
    <row r="2126" spans="9:11" x14ac:dyDescent="0.25">
      <c r="I2126" s="86">
        <v>2125</v>
      </c>
      <c r="J2126" s="87">
        <v>7.0788049506823825E-2</v>
      </c>
      <c r="K2126" s="87">
        <v>5.5646138540699859</v>
      </c>
    </row>
    <row r="2127" spans="9:11" x14ac:dyDescent="0.25">
      <c r="I2127" s="86">
        <v>2126</v>
      </c>
      <c r="J2127" s="87">
        <v>3.7224758041199042</v>
      </c>
      <c r="K2127" s="87">
        <v>8.0512743797011304</v>
      </c>
    </row>
    <row r="2128" spans="9:11" x14ac:dyDescent="0.25">
      <c r="I2128" s="86">
        <v>2127</v>
      </c>
      <c r="J2128" s="87">
        <v>2.1574913982337538</v>
      </c>
      <c r="K2128" s="87">
        <v>5.5861599632098082</v>
      </c>
    </row>
    <row r="2129" spans="9:11" x14ac:dyDescent="0.25">
      <c r="I2129" s="86">
        <v>2128</v>
      </c>
      <c r="J2129" s="87">
        <v>1.8665053514787227</v>
      </c>
      <c r="K2129" s="87">
        <v>8.1920281924473333</v>
      </c>
    </row>
    <row r="2130" spans="9:11" x14ac:dyDescent="0.25">
      <c r="I2130" s="86">
        <v>2129</v>
      </c>
      <c r="J2130" s="87">
        <v>2.8605890696630007</v>
      </c>
      <c r="K2130" s="87">
        <v>8.6054032422702456</v>
      </c>
    </row>
    <row r="2131" spans="9:11" x14ac:dyDescent="0.25">
      <c r="I2131" s="86">
        <v>2130</v>
      </c>
      <c r="J2131" s="87">
        <v>-0.21489312468965771</v>
      </c>
      <c r="K2131" s="87">
        <v>6.0236919012864618</v>
      </c>
    </row>
    <row r="2132" spans="9:11" x14ac:dyDescent="0.25">
      <c r="I2132" s="86">
        <v>2131</v>
      </c>
      <c r="J2132" s="87">
        <v>5.5680381045364751</v>
      </c>
      <c r="K2132" s="87">
        <v>7.210273581703623</v>
      </c>
    </row>
    <row r="2133" spans="9:11" x14ac:dyDescent="0.25">
      <c r="I2133" s="86">
        <v>2132</v>
      </c>
      <c r="J2133" s="87">
        <v>0.12100940194655552</v>
      </c>
      <c r="K2133" s="87">
        <v>4.5830809788003082</v>
      </c>
    </row>
    <row r="2134" spans="9:11" x14ac:dyDescent="0.25">
      <c r="I2134" s="86">
        <v>2133</v>
      </c>
      <c r="J2134" s="87">
        <v>2.2118126682376769</v>
      </c>
      <c r="K2134" s="87">
        <v>8.7797541563286394</v>
      </c>
    </row>
    <row r="2135" spans="9:11" x14ac:dyDescent="0.25">
      <c r="I2135" s="86">
        <v>2134</v>
      </c>
      <c r="J2135" s="87">
        <v>1.1857929133004306</v>
      </c>
      <c r="K2135" s="87">
        <v>6.1053137452020305</v>
      </c>
    </row>
    <row r="2136" spans="9:11" x14ac:dyDescent="0.25">
      <c r="I2136" s="86">
        <v>2135</v>
      </c>
      <c r="J2136" s="87">
        <v>0.46545252263731829</v>
      </c>
      <c r="K2136" s="87">
        <v>5.5956842782484522</v>
      </c>
    </row>
    <row r="2137" spans="9:11" x14ac:dyDescent="0.25">
      <c r="I2137" s="86">
        <v>2136</v>
      </c>
      <c r="J2137" s="87">
        <v>2.4100600242182342</v>
      </c>
      <c r="K2137" s="87">
        <v>7.4888217308264409</v>
      </c>
    </row>
    <row r="2138" spans="9:11" x14ac:dyDescent="0.25">
      <c r="I2138" s="86">
        <v>2137</v>
      </c>
      <c r="J2138" s="87">
        <v>4.4286259221454376</v>
      </c>
      <c r="K2138" s="87">
        <v>10.733286282412241</v>
      </c>
    </row>
    <row r="2139" spans="9:11" x14ac:dyDescent="0.25">
      <c r="I2139" s="86">
        <v>2138</v>
      </c>
      <c r="J2139" s="87">
        <v>2.6555559987890378</v>
      </c>
      <c r="K2139" s="87">
        <v>5.7450773991317226</v>
      </c>
    </row>
    <row r="2140" spans="9:11" x14ac:dyDescent="0.25">
      <c r="I2140" s="86">
        <v>2139</v>
      </c>
      <c r="J2140" s="87">
        <v>5.0440424245550313</v>
      </c>
      <c r="K2140" s="87">
        <v>9.7614834438749725</v>
      </c>
    </row>
    <row r="2141" spans="9:11" x14ac:dyDescent="0.25">
      <c r="I2141" s="86">
        <v>2140</v>
      </c>
      <c r="J2141" s="87">
        <v>0.97010239202913962</v>
      </c>
      <c r="K2141" s="87">
        <v>6.6957734348920308</v>
      </c>
    </row>
    <row r="2142" spans="9:11" x14ac:dyDescent="0.25">
      <c r="I2142" s="86">
        <v>2141</v>
      </c>
      <c r="J2142" s="87">
        <v>-0.75098485249043456</v>
      </c>
      <c r="K2142" s="87">
        <v>5.7291210477511818</v>
      </c>
    </row>
    <row r="2143" spans="9:11" x14ac:dyDescent="0.25">
      <c r="I2143" s="86">
        <v>2142</v>
      </c>
      <c r="J2143" s="87">
        <v>-1.5915248025551039</v>
      </c>
      <c r="K2143" s="87">
        <v>5.5020911252286719</v>
      </c>
    </row>
    <row r="2144" spans="9:11" x14ac:dyDescent="0.25">
      <c r="I2144" s="86">
        <v>2143</v>
      </c>
      <c r="J2144" s="87">
        <v>0.6763958825685874</v>
      </c>
      <c r="K2144" s="87">
        <v>7.9710130383366646</v>
      </c>
    </row>
    <row r="2145" spans="9:11" x14ac:dyDescent="0.25">
      <c r="I2145" s="86">
        <v>2144</v>
      </c>
      <c r="J2145" s="87">
        <v>0.64820549273570283</v>
      </c>
      <c r="K2145" s="87">
        <v>7.190906706188378</v>
      </c>
    </row>
    <row r="2146" spans="9:11" x14ac:dyDescent="0.25">
      <c r="I2146" s="86">
        <v>2145</v>
      </c>
      <c r="J2146" s="87">
        <v>3.3820314117965351</v>
      </c>
      <c r="K2146" s="87">
        <v>7.2882293370299207</v>
      </c>
    </row>
    <row r="2147" spans="9:11" x14ac:dyDescent="0.25">
      <c r="I2147" s="86">
        <v>2146</v>
      </c>
      <c r="J2147" s="87">
        <v>-0.81044250057017742</v>
      </c>
      <c r="K2147" s="87">
        <v>5.8769902433120311</v>
      </c>
    </row>
    <row r="2148" spans="9:11" x14ac:dyDescent="0.25">
      <c r="I2148" s="86">
        <v>2147</v>
      </c>
      <c r="J2148" s="87">
        <v>2.2936708859678125</v>
      </c>
      <c r="K2148" s="87">
        <v>7.7910477719149336</v>
      </c>
    </row>
    <row r="2149" spans="9:11" x14ac:dyDescent="0.25">
      <c r="I2149" s="86">
        <v>2148</v>
      </c>
      <c r="J2149" s="87">
        <v>0.53417746632145402</v>
      </c>
      <c r="K2149" s="87">
        <v>5.3929662937104066</v>
      </c>
    </row>
    <row r="2150" spans="9:11" x14ac:dyDescent="0.25">
      <c r="I2150" s="86">
        <v>2149</v>
      </c>
      <c r="J2150" s="87">
        <v>0.38667422685337538</v>
      </c>
      <c r="K2150" s="87">
        <v>5.3153422732036164</v>
      </c>
    </row>
    <row r="2151" spans="9:11" x14ac:dyDescent="0.25">
      <c r="I2151" s="86">
        <v>2150</v>
      </c>
      <c r="J2151" s="87">
        <v>-0.89330989081136547</v>
      </c>
      <c r="K2151" s="87">
        <v>6.2274736381382585</v>
      </c>
    </row>
    <row r="2152" spans="9:11" x14ac:dyDescent="0.25">
      <c r="I2152" s="86">
        <v>2151</v>
      </c>
      <c r="J2152" s="87">
        <v>0.56282165318193833</v>
      </c>
      <c r="K2152" s="87">
        <v>5.6241799422631491</v>
      </c>
    </row>
    <row r="2153" spans="9:11" x14ac:dyDescent="0.25">
      <c r="I2153" s="86">
        <v>2152</v>
      </c>
      <c r="J2153" s="87">
        <v>0.35617118465361663</v>
      </c>
      <c r="K2153" s="87">
        <v>6.9303722088078752</v>
      </c>
    </row>
    <row r="2154" spans="9:11" x14ac:dyDescent="0.25">
      <c r="I2154" s="86">
        <v>2153</v>
      </c>
      <c r="J2154" s="87">
        <v>1.4872053780345302</v>
      </c>
      <c r="K2154" s="87">
        <v>5.8834275994364873</v>
      </c>
    </row>
    <row r="2155" spans="9:11" x14ac:dyDescent="0.25">
      <c r="I2155" s="86">
        <v>2154</v>
      </c>
      <c r="J2155" s="87">
        <v>0.43252266153856889</v>
      </c>
      <c r="K2155" s="87">
        <v>5.0921252477446259</v>
      </c>
    </row>
    <row r="2156" spans="9:11" x14ac:dyDescent="0.25">
      <c r="I2156" s="86">
        <v>2155</v>
      </c>
      <c r="J2156" s="87">
        <v>1.267637240849286</v>
      </c>
      <c r="K2156" s="87">
        <v>6.6731737875805246</v>
      </c>
    </row>
    <row r="2157" spans="9:11" x14ac:dyDescent="0.25">
      <c r="I2157" s="86">
        <v>2156</v>
      </c>
      <c r="J2157" s="87">
        <v>-0.26078522630595913</v>
      </c>
      <c r="K2157" s="87">
        <v>6.5946177159210722</v>
      </c>
    </row>
    <row r="2158" spans="9:11" x14ac:dyDescent="0.25">
      <c r="I2158" s="86">
        <v>2157</v>
      </c>
      <c r="J2158" s="87">
        <v>-0.63126799447498527</v>
      </c>
      <c r="K2158" s="87">
        <v>6.7766394767928713</v>
      </c>
    </row>
    <row r="2159" spans="9:11" x14ac:dyDescent="0.25">
      <c r="I2159" s="86">
        <v>2158</v>
      </c>
      <c r="J2159" s="87">
        <v>1.9276854762154612</v>
      </c>
      <c r="K2159" s="87">
        <v>7.1233558874601011</v>
      </c>
    </row>
    <row r="2160" spans="9:11" x14ac:dyDescent="0.25">
      <c r="I2160" s="86">
        <v>2159</v>
      </c>
      <c r="J2160" s="87">
        <v>0.96949485448131156</v>
      </c>
      <c r="K2160" s="87">
        <v>6.1304529534780547</v>
      </c>
    </row>
    <row r="2161" spans="9:11" x14ac:dyDescent="0.25">
      <c r="I2161" s="86">
        <v>2160</v>
      </c>
      <c r="J2161" s="87">
        <v>2.0100679869834401</v>
      </c>
      <c r="K2161" s="87">
        <v>5.682572756376902</v>
      </c>
    </row>
    <row r="2162" spans="9:11" x14ac:dyDescent="0.25">
      <c r="I2162" s="86">
        <v>2161</v>
      </c>
      <c r="J2162" s="87">
        <v>2.4693193236268378</v>
      </c>
      <c r="K2162" s="87">
        <v>7.3229571628386312</v>
      </c>
    </row>
    <row r="2163" spans="9:11" x14ac:dyDescent="0.25">
      <c r="I2163" s="86">
        <v>2162</v>
      </c>
      <c r="J2163" s="87">
        <v>5.0165789877136859</v>
      </c>
      <c r="K2163" s="87">
        <v>5.6066947260998239</v>
      </c>
    </row>
    <row r="2164" spans="9:11" x14ac:dyDescent="0.25">
      <c r="I2164" s="86">
        <v>2163</v>
      </c>
      <c r="J2164" s="87">
        <v>0.96432412702435144</v>
      </c>
      <c r="K2164" s="87">
        <v>7.7166338538215697</v>
      </c>
    </row>
    <row r="2165" spans="9:11" x14ac:dyDescent="0.25">
      <c r="I2165" s="86">
        <v>2164</v>
      </c>
      <c r="J2165" s="87">
        <v>1.8971554056689071</v>
      </c>
      <c r="K2165" s="87">
        <v>5.9948352298258181</v>
      </c>
    </row>
    <row r="2166" spans="9:11" x14ac:dyDescent="0.25">
      <c r="I2166" s="86">
        <v>2165</v>
      </c>
      <c r="J2166" s="87">
        <v>1.4189774884974389</v>
      </c>
      <c r="K2166" s="87">
        <v>7.2085952028656708</v>
      </c>
    </row>
    <row r="2167" spans="9:11" x14ac:dyDescent="0.25">
      <c r="I2167" s="86">
        <v>2166</v>
      </c>
      <c r="J2167" s="87">
        <v>-0.24273191403829397</v>
      </c>
      <c r="K2167" s="87">
        <v>4.74979823450622</v>
      </c>
    </row>
    <row r="2168" spans="9:11" x14ac:dyDescent="0.25">
      <c r="I2168" s="86">
        <v>2167</v>
      </c>
      <c r="J2168" s="87">
        <v>-0.14944743104791325</v>
      </c>
      <c r="K2168" s="87">
        <v>5.4536249359169737</v>
      </c>
    </row>
    <row r="2169" spans="9:11" x14ac:dyDescent="0.25">
      <c r="I2169" s="86">
        <v>2168</v>
      </c>
      <c r="J2169" s="87">
        <v>2.1808339864600885</v>
      </c>
      <c r="K2169" s="87">
        <v>6.8174343294390694</v>
      </c>
    </row>
    <row r="2170" spans="9:11" x14ac:dyDescent="0.25">
      <c r="I2170" s="86">
        <v>2169</v>
      </c>
      <c r="J2170" s="87">
        <v>2.6339762806510638</v>
      </c>
      <c r="K2170" s="87">
        <v>7.4158381271642977</v>
      </c>
    </row>
    <row r="2171" spans="9:11" x14ac:dyDescent="0.25">
      <c r="I2171" s="86">
        <v>2170</v>
      </c>
      <c r="J2171" s="87">
        <v>-0.46151112020502838</v>
      </c>
      <c r="K2171" s="87">
        <v>4.6568920376112866</v>
      </c>
    </row>
    <row r="2172" spans="9:11" x14ac:dyDescent="0.25">
      <c r="I2172" s="86">
        <v>2171</v>
      </c>
      <c r="J2172" s="87">
        <v>2.3704130569231436</v>
      </c>
      <c r="K2172" s="87">
        <v>8.6165657535007476</v>
      </c>
    </row>
    <row r="2173" spans="9:11" x14ac:dyDescent="0.25">
      <c r="I2173" s="86">
        <v>2172</v>
      </c>
      <c r="J2173" s="87">
        <v>0.73982209516895647</v>
      </c>
      <c r="K2173" s="87">
        <v>5.1600526418092159</v>
      </c>
    </row>
    <row r="2174" spans="9:11" x14ac:dyDescent="0.25">
      <c r="I2174" s="86">
        <v>2173</v>
      </c>
      <c r="J2174" s="87">
        <v>0.65780070039109351</v>
      </c>
      <c r="K2174" s="87">
        <v>7.3688579304131796</v>
      </c>
    </row>
    <row r="2175" spans="9:11" x14ac:dyDescent="0.25">
      <c r="I2175" s="86">
        <v>2174</v>
      </c>
      <c r="J2175" s="87">
        <v>-0.18152490758895912</v>
      </c>
      <c r="K2175" s="87">
        <v>4.9172846926847056</v>
      </c>
    </row>
    <row r="2176" spans="9:11" x14ac:dyDescent="0.25">
      <c r="I2176" s="86">
        <v>2175</v>
      </c>
      <c r="J2176" s="87">
        <v>0.34480379075779943</v>
      </c>
      <c r="K2176" s="87">
        <v>4.5187952233158981</v>
      </c>
    </row>
    <row r="2177" spans="9:11" x14ac:dyDescent="0.25">
      <c r="I2177" s="86">
        <v>2176</v>
      </c>
      <c r="J2177" s="87">
        <v>-0.41707716936141548</v>
      </c>
      <c r="K2177" s="87">
        <v>4.8796158282067044</v>
      </c>
    </row>
    <row r="2178" spans="9:11" x14ac:dyDescent="0.25">
      <c r="I2178" s="86">
        <v>2177</v>
      </c>
      <c r="J2178" s="87">
        <v>3.9469208949955608</v>
      </c>
      <c r="K2178" s="87">
        <v>8.0636646279692705</v>
      </c>
    </row>
    <row r="2179" spans="9:11" x14ac:dyDescent="0.25">
      <c r="I2179" s="86">
        <v>2178</v>
      </c>
      <c r="J2179" s="87">
        <v>1.3713725463815623</v>
      </c>
      <c r="K2179" s="87">
        <v>6.5654373610495353</v>
      </c>
    </row>
    <row r="2180" spans="9:11" x14ac:dyDescent="0.25">
      <c r="I2180" s="86">
        <v>2179</v>
      </c>
      <c r="J2180" s="87">
        <v>3.827917036024294</v>
      </c>
      <c r="K2180" s="87">
        <v>10.206778874431976</v>
      </c>
    </row>
    <row r="2181" spans="9:11" x14ac:dyDescent="0.25">
      <c r="I2181" s="86">
        <v>2180</v>
      </c>
      <c r="J2181" s="87">
        <v>2.2469751907575213</v>
      </c>
      <c r="K2181" s="87">
        <v>5.0128256435620528</v>
      </c>
    </row>
    <row r="2182" spans="9:11" x14ac:dyDescent="0.25">
      <c r="I2182" s="86">
        <v>2181</v>
      </c>
      <c r="J2182" s="87">
        <v>0.77120696489942908</v>
      </c>
      <c r="K2182" s="87">
        <v>5.9059805022848524</v>
      </c>
    </row>
    <row r="2183" spans="9:11" x14ac:dyDescent="0.25">
      <c r="I2183" s="86">
        <v>2182</v>
      </c>
      <c r="J2183" s="87">
        <v>0.84478110752930036</v>
      </c>
      <c r="K2183" s="87">
        <v>5.8921312823816487</v>
      </c>
    </row>
    <row r="2184" spans="9:11" x14ac:dyDescent="0.25">
      <c r="I2184" s="86">
        <v>2183</v>
      </c>
      <c r="J2184" s="87">
        <v>5.5666224259776769</v>
      </c>
      <c r="K2184" s="87">
        <v>9.2287978313951626</v>
      </c>
    </row>
    <row r="2185" spans="9:11" x14ac:dyDescent="0.25">
      <c r="I2185" s="86">
        <v>2184</v>
      </c>
      <c r="J2185" s="87">
        <v>7.296057970580403</v>
      </c>
      <c r="K2185" s="87">
        <v>10.776866660707931</v>
      </c>
    </row>
    <row r="2186" spans="9:11" x14ac:dyDescent="0.25">
      <c r="I2186" s="86">
        <v>2185</v>
      </c>
      <c r="J2186" s="87">
        <v>-1.2679694535443682</v>
      </c>
      <c r="K2186" s="87">
        <v>5.7124892057447267</v>
      </c>
    </row>
    <row r="2187" spans="9:11" x14ac:dyDescent="0.25">
      <c r="I2187" s="86">
        <v>2186</v>
      </c>
      <c r="J2187" s="87">
        <v>-0.70539950359441939</v>
      </c>
      <c r="K2187" s="87">
        <v>5.0071404955810257</v>
      </c>
    </row>
    <row r="2188" spans="9:11" x14ac:dyDescent="0.25">
      <c r="I2188" s="86">
        <v>2187</v>
      </c>
      <c r="J2188" s="87">
        <v>-0.746991092075449</v>
      </c>
      <c r="K2188" s="87">
        <v>6.401788023734075</v>
      </c>
    </row>
    <row r="2189" spans="9:11" x14ac:dyDescent="0.25">
      <c r="I2189" s="86">
        <v>2188</v>
      </c>
      <c r="J2189" s="87">
        <v>1.9931882778255927</v>
      </c>
      <c r="K2189" s="87">
        <v>8.6838711199486411</v>
      </c>
    </row>
    <row r="2190" spans="9:11" x14ac:dyDescent="0.25">
      <c r="I2190" s="86">
        <v>2189</v>
      </c>
      <c r="J2190" s="87">
        <v>1.379236190857041</v>
      </c>
      <c r="K2190" s="87">
        <v>5.9628793101383328</v>
      </c>
    </row>
    <row r="2191" spans="9:11" x14ac:dyDescent="0.25">
      <c r="I2191" s="86">
        <v>2190</v>
      </c>
      <c r="J2191" s="87">
        <v>0.85298230819635723</v>
      </c>
      <c r="K2191" s="87">
        <v>5.9139011588447987</v>
      </c>
    </row>
    <row r="2192" spans="9:11" x14ac:dyDescent="0.25">
      <c r="I2192" s="86">
        <v>2191</v>
      </c>
      <c r="J2192" s="87">
        <v>0.2915408187136963</v>
      </c>
      <c r="K2192" s="87">
        <v>7.2456765793046891</v>
      </c>
    </row>
    <row r="2193" spans="9:11" x14ac:dyDescent="0.25">
      <c r="I2193" s="86">
        <v>2192</v>
      </c>
      <c r="J2193" s="87">
        <v>0.92279677303588059</v>
      </c>
      <c r="K2193" s="87">
        <v>6.0476105731192451</v>
      </c>
    </row>
    <row r="2194" spans="9:11" x14ac:dyDescent="0.25">
      <c r="I2194" s="86">
        <v>2193</v>
      </c>
      <c r="J2194" s="87">
        <v>-0.48210854794165137</v>
      </c>
      <c r="K2194" s="87">
        <v>6.0854161806410145</v>
      </c>
    </row>
    <row r="2195" spans="9:11" x14ac:dyDescent="0.25">
      <c r="I2195" s="86">
        <v>2194</v>
      </c>
      <c r="J2195" s="87">
        <v>3.8624163621267371</v>
      </c>
      <c r="K2195" s="87">
        <v>6.2355570672786405</v>
      </c>
    </row>
    <row r="2196" spans="9:11" x14ac:dyDescent="0.25">
      <c r="I2196" s="86">
        <v>2195</v>
      </c>
      <c r="J2196" s="87">
        <v>0.63336545921620058</v>
      </c>
      <c r="K2196" s="87">
        <v>6.3232031794177415</v>
      </c>
    </row>
    <row r="2197" spans="9:11" x14ac:dyDescent="0.25">
      <c r="I2197" s="86">
        <v>2196</v>
      </c>
      <c r="J2197" s="87">
        <v>0.62745007435673283</v>
      </c>
      <c r="K2197" s="87">
        <v>6.9186195390699243</v>
      </c>
    </row>
    <row r="2198" spans="9:11" x14ac:dyDescent="0.25">
      <c r="I2198" s="86">
        <v>2197</v>
      </c>
      <c r="J2198" s="87">
        <v>2.0201977456327675</v>
      </c>
      <c r="K2198" s="87">
        <v>7.7006507346850928</v>
      </c>
    </row>
    <row r="2199" spans="9:11" x14ac:dyDescent="0.25">
      <c r="I2199" s="86">
        <v>2198</v>
      </c>
      <c r="J2199" s="87">
        <v>1.1173878419403378</v>
      </c>
      <c r="K2199" s="87">
        <v>8.5004731026835447</v>
      </c>
    </row>
    <row r="2200" spans="9:11" x14ac:dyDescent="0.25">
      <c r="I2200" s="86">
        <v>2199</v>
      </c>
      <c r="J2200" s="87">
        <v>3.7481298302781028</v>
      </c>
      <c r="K2200" s="87">
        <v>7.4600050265110704</v>
      </c>
    </row>
    <row r="2201" spans="9:11" x14ac:dyDescent="0.25">
      <c r="I2201" s="86">
        <v>2200</v>
      </c>
      <c r="J2201" s="87">
        <v>1.4881998394701217</v>
      </c>
      <c r="K2201" s="87">
        <v>7.2633253363726586</v>
      </c>
    </row>
    <row r="2202" spans="9:11" x14ac:dyDescent="0.25">
      <c r="I2202" s="86">
        <v>2201</v>
      </c>
      <c r="J2202" s="87">
        <v>0.99224666383833249</v>
      </c>
      <c r="K2202" s="87">
        <v>7.7175399414325705</v>
      </c>
    </row>
    <row r="2203" spans="9:11" x14ac:dyDescent="0.25">
      <c r="I2203" s="86">
        <v>2202</v>
      </c>
      <c r="J2203" s="87">
        <v>0.4063579008690823</v>
      </c>
      <c r="K2203" s="87">
        <v>6.3687470021389405</v>
      </c>
    </row>
    <row r="2204" spans="9:11" x14ac:dyDescent="0.25">
      <c r="I2204" s="86">
        <v>2203</v>
      </c>
      <c r="J2204" s="87">
        <v>1.380185800396073</v>
      </c>
      <c r="K2204" s="87">
        <v>5.5574561548891523</v>
      </c>
    </row>
    <row r="2205" spans="9:11" x14ac:dyDescent="0.25">
      <c r="I2205" s="86">
        <v>2204</v>
      </c>
      <c r="J2205" s="87">
        <v>4.0025610788994808</v>
      </c>
      <c r="K2205" s="87">
        <v>8.7356049769194186</v>
      </c>
    </row>
    <row r="2206" spans="9:11" x14ac:dyDescent="0.25">
      <c r="I2206" s="86">
        <v>2205</v>
      </c>
      <c r="J2206" s="87">
        <v>2.9041758305497689</v>
      </c>
      <c r="K2206" s="87">
        <v>8.1801316578197785</v>
      </c>
    </row>
    <row r="2207" spans="9:11" x14ac:dyDescent="0.25">
      <c r="I2207" s="86">
        <v>2206</v>
      </c>
      <c r="J2207" s="87">
        <v>7.2962361181187489</v>
      </c>
      <c r="K2207" s="87">
        <v>11.843943440166273</v>
      </c>
    </row>
    <row r="2208" spans="9:11" x14ac:dyDescent="0.25">
      <c r="I2208" s="86">
        <v>2207</v>
      </c>
      <c r="J2208" s="87">
        <v>-0.4833349591430256</v>
      </c>
      <c r="K2208" s="87">
        <v>5.6027746343832732</v>
      </c>
    </row>
    <row r="2209" spans="9:11" x14ac:dyDescent="0.25">
      <c r="I2209" s="86">
        <v>2208</v>
      </c>
      <c r="J2209" s="87">
        <v>0.92500850793338829</v>
      </c>
      <c r="K2209" s="87">
        <v>4.9058046243297779</v>
      </c>
    </row>
    <row r="2210" spans="9:11" x14ac:dyDescent="0.25">
      <c r="I2210" s="86">
        <v>2209</v>
      </c>
      <c r="J2210" s="87">
        <v>0.6704725233708535</v>
      </c>
      <c r="K2210" s="87">
        <v>6.0906465273971593</v>
      </c>
    </row>
    <row r="2211" spans="9:11" x14ac:dyDescent="0.25">
      <c r="I2211" s="86">
        <v>2210</v>
      </c>
      <c r="J2211" s="87">
        <v>3.5791183618170042</v>
      </c>
      <c r="K2211" s="87">
        <v>7.9836547201043269</v>
      </c>
    </row>
    <row r="2212" spans="9:11" x14ac:dyDescent="0.25">
      <c r="I2212" s="86">
        <v>2211</v>
      </c>
      <c r="J2212" s="87">
        <v>1.8589657180665746</v>
      </c>
      <c r="K2212" s="87">
        <v>8.2182786527821019</v>
      </c>
    </row>
    <row r="2213" spans="9:11" x14ac:dyDescent="0.25">
      <c r="I2213" s="86">
        <v>2212</v>
      </c>
      <c r="J2213" s="87">
        <v>-0.21016237564369611</v>
      </c>
      <c r="K2213" s="87">
        <v>6.2323139124450213</v>
      </c>
    </row>
    <row r="2214" spans="9:11" x14ac:dyDescent="0.25">
      <c r="I2214" s="86">
        <v>2213</v>
      </c>
      <c r="J2214" s="87">
        <v>1.752495142986966</v>
      </c>
      <c r="K2214" s="87">
        <v>7.0676054591476483</v>
      </c>
    </row>
    <row r="2215" spans="9:11" x14ac:dyDescent="0.25">
      <c r="I2215" s="86">
        <v>2214</v>
      </c>
      <c r="J2215" s="87">
        <v>2.7419243877916397</v>
      </c>
      <c r="K2215" s="87">
        <v>10.407423750407473</v>
      </c>
    </row>
    <row r="2216" spans="9:11" x14ac:dyDescent="0.25">
      <c r="I2216" s="86">
        <v>2215</v>
      </c>
      <c r="J2216" s="87">
        <v>1.3398919351795877</v>
      </c>
      <c r="K2216" s="87">
        <v>6.3020373561728968</v>
      </c>
    </row>
    <row r="2217" spans="9:11" x14ac:dyDescent="0.25">
      <c r="I2217" s="86">
        <v>2216</v>
      </c>
      <c r="J2217" s="87">
        <v>1.7448099627035845</v>
      </c>
      <c r="K2217" s="87">
        <v>9.2954078671926634</v>
      </c>
    </row>
    <row r="2218" spans="9:11" x14ac:dyDescent="0.25">
      <c r="I2218" s="86">
        <v>2217</v>
      </c>
      <c r="J2218" s="87">
        <v>-1.6323067262145456</v>
      </c>
      <c r="K2218" s="87">
        <v>4.5697581085825796</v>
      </c>
    </row>
    <row r="2219" spans="9:11" x14ac:dyDescent="0.25">
      <c r="I2219" s="86">
        <v>2218</v>
      </c>
      <c r="J2219" s="87">
        <v>3.4536576790305231</v>
      </c>
      <c r="K2219" s="87">
        <v>8.2801679119626357</v>
      </c>
    </row>
    <row r="2220" spans="9:11" x14ac:dyDescent="0.25">
      <c r="I2220" s="86">
        <v>2219</v>
      </c>
      <c r="J2220" s="87">
        <v>1.7811861556682693</v>
      </c>
      <c r="K2220" s="87">
        <v>7.0746212257020833</v>
      </c>
    </row>
    <row r="2221" spans="9:11" x14ac:dyDescent="0.25">
      <c r="I2221" s="86">
        <v>2220</v>
      </c>
      <c r="J2221" s="87">
        <v>1.6281977525356548</v>
      </c>
      <c r="K2221" s="87">
        <v>4.8474526036703907</v>
      </c>
    </row>
    <row r="2222" spans="9:11" x14ac:dyDescent="0.25">
      <c r="I2222" s="86">
        <v>2221</v>
      </c>
      <c r="J2222" s="87">
        <v>2.3710441317277597</v>
      </c>
      <c r="K2222" s="87">
        <v>9.3649803579740745</v>
      </c>
    </row>
    <row r="2223" spans="9:11" x14ac:dyDescent="0.25">
      <c r="I2223" s="86">
        <v>2222</v>
      </c>
      <c r="J2223" s="87">
        <v>0.21879640968031211</v>
      </c>
      <c r="K2223" s="87">
        <v>4.8383956603311926</v>
      </c>
    </row>
    <row r="2224" spans="9:11" x14ac:dyDescent="0.25">
      <c r="I2224" s="86">
        <v>2223</v>
      </c>
      <c r="J2224" s="87">
        <v>0.90851329307170925</v>
      </c>
      <c r="K2224" s="87">
        <v>7.9399853087212291</v>
      </c>
    </row>
    <row r="2225" spans="9:11" x14ac:dyDescent="0.25">
      <c r="I2225" s="86">
        <v>2224</v>
      </c>
      <c r="J2225" s="87">
        <v>1.6069847530393675</v>
      </c>
      <c r="K2225" s="87">
        <v>5.8121627012410109</v>
      </c>
    </row>
    <row r="2226" spans="9:11" x14ac:dyDescent="0.25">
      <c r="I2226" s="86">
        <v>2225</v>
      </c>
      <c r="J2226" s="87">
        <v>1.7571278965098536</v>
      </c>
      <c r="K2226" s="87">
        <v>5.7405017632201023</v>
      </c>
    </row>
    <row r="2227" spans="9:11" x14ac:dyDescent="0.25">
      <c r="I2227" s="86">
        <v>2226</v>
      </c>
      <c r="J2227" s="87">
        <v>2.8688826536989316</v>
      </c>
      <c r="K2227" s="87">
        <v>6.0406340639789464</v>
      </c>
    </row>
    <row r="2228" spans="9:11" x14ac:dyDescent="0.25">
      <c r="I2228" s="86">
        <v>2227</v>
      </c>
      <c r="J2228" s="87">
        <v>2.1725818137990309</v>
      </c>
      <c r="K2228" s="87">
        <v>7.0354378131281923</v>
      </c>
    </row>
    <row r="2229" spans="9:11" x14ac:dyDescent="0.25">
      <c r="I2229" s="86">
        <v>2228</v>
      </c>
      <c r="J2229" s="87">
        <v>1.7409203803108806</v>
      </c>
      <c r="K2229" s="87">
        <v>6.0035523376156563</v>
      </c>
    </row>
    <row r="2230" spans="9:11" x14ac:dyDescent="0.25">
      <c r="I2230" s="86">
        <v>2229</v>
      </c>
      <c r="J2230" s="87">
        <v>-0.12002780977221139</v>
      </c>
      <c r="K2230" s="87">
        <v>5.8591727868049377</v>
      </c>
    </row>
    <row r="2231" spans="9:11" x14ac:dyDescent="0.25">
      <c r="I2231" s="86">
        <v>2230</v>
      </c>
      <c r="J2231" s="87">
        <v>4.1418863717967263</v>
      </c>
      <c r="K2231" s="87">
        <v>9.7720613145202169</v>
      </c>
    </row>
    <row r="2232" spans="9:11" x14ac:dyDescent="0.25">
      <c r="I2232" s="86">
        <v>2231</v>
      </c>
      <c r="J2232" s="87">
        <v>0.43059565761798435</v>
      </c>
      <c r="K2232" s="87">
        <v>6.3860296923037945</v>
      </c>
    </row>
    <row r="2233" spans="9:11" x14ac:dyDescent="0.25">
      <c r="I2233" s="86">
        <v>2232</v>
      </c>
      <c r="J2233" s="87">
        <v>2.6680835680014869</v>
      </c>
      <c r="K2233" s="87">
        <v>7.0161741616028861</v>
      </c>
    </row>
    <row r="2234" spans="9:11" x14ac:dyDescent="0.25">
      <c r="I2234" s="86">
        <v>2233</v>
      </c>
      <c r="J2234" s="87">
        <v>0.40399835499916037</v>
      </c>
      <c r="K2234" s="87">
        <v>5.0686754199745758</v>
      </c>
    </row>
    <row r="2235" spans="9:11" x14ac:dyDescent="0.25">
      <c r="I2235" s="86">
        <v>2234</v>
      </c>
      <c r="J2235" s="87">
        <v>-0.27219627640980004</v>
      </c>
      <c r="K2235" s="87">
        <v>6.5153110140220605</v>
      </c>
    </row>
    <row r="2236" spans="9:11" x14ac:dyDescent="0.25">
      <c r="I2236" s="86">
        <v>2235</v>
      </c>
      <c r="J2236" s="87">
        <v>2.2698999072421442</v>
      </c>
      <c r="K2236" s="87">
        <v>7.1930603507208231</v>
      </c>
    </row>
    <row r="2237" spans="9:11" x14ac:dyDescent="0.25">
      <c r="I2237" s="86">
        <v>2236</v>
      </c>
      <c r="J2237" s="87">
        <v>-1.2296854459764033</v>
      </c>
      <c r="K2237" s="87">
        <v>5.0715351309245795</v>
      </c>
    </row>
    <row r="2238" spans="9:11" x14ac:dyDescent="0.25">
      <c r="I2238" s="86">
        <v>2237</v>
      </c>
      <c r="J2238" s="87">
        <v>2.5452710352978505</v>
      </c>
      <c r="K2238" s="87">
        <v>10.233277831721733</v>
      </c>
    </row>
    <row r="2239" spans="9:11" x14ac:dyDescent="0.25">
      <c r="I2239" s="86">
        <v>2238</v>
      </c>
      <c r="J2239" s="87">
        <v>-1.2597341203219523</v>
      </c>
      <c r="K2239" s="87">
        <v>5.0673721484474319</v>
      </c>
    </row>
    <row r="2240" spans="9:11" x14ac:dyDescent="0.25">
      <c r="I2240" s="86">
        <v>2239</v>
      </c>
      <c r="J2240" s="87">
        <v>-1.6358649880786942</v>
      </c>
      <c r="K2240" s="87">
        <v>4.24637496163741</v>
      </c>
    </row>
    <row r="2241" spans="9:11" x14ac:dyDescent="0.25">
      <c r="I2241" s="86">
        <v>2240</v>
      </c>
      <c r="J2241" s="87">
        <v>1.8439096111027924</v>
      </c>
      <c r="K2241" s="87">
        <v>7.276731462739944</v>
      </c>
    </row>
    <row r="2242" spans="9:11" x14ac:dyDescent="0.25">
      <c r="I2242" s="86">
        <v>2241</v>
      </c>
      <c r="J2242" s="87">
        <v>1.9169647286592166</v>
      </c>
      <c r="K2242" s="87">
        <v>6.5969517657690853</v>
      </c>
    </row>
    <row r="2243" spans="9:11" x14ac:dyDescent="0.25">
      <c r="I2243" s="86">
        <v>2242</v>
      </c>
      <c r="J2243" s="87">
        <v>3.5209022885859103</v>
      </c>
      <c r="K2243" s="87">
        <v>7.2734456296676031</v>
      </c>
    </row>
    <row r="2244" spans="9:11" x14ac:dyDescent="0.25">
      <c r="I2244" s="86">
        <v>2243</v>
      </c>
      <c r="J2244" s="87">
        <v>1.5630872562664004</v>
      </c>
      <c r="K2244" s="87">
        <v>6.8108485583599698</v>
      </c>
    </row>
    <row r="2245" spans="9:11" x14ac:dyDescent="0.25">
      <c r="I2245" s="86">
        <v>2244</v>
      </c>
      <c r="J2245" s="87">
        <v>2.9328865944005544</v>
      </c>
      <c r="K2245" s="87">
        <v>5.904822706623289</v>
      </c>
    </row>
    <row r="2246" spans="9:11" x14ac:dyDescent="0.25">
      <c r="I2246" s="86">
        <v>2245</v>
      </c>
      <c r="J2246" s="87">
        <v>1.626122231764672</v>
      </c>
      <c r="K2246" s="87">
        <v>6.505986326492696</v>
      </c>
    </row>
    <row r="2247" spans="9:11" x14ac:dyDescent="0.25">
      <c r="I2247" s="86">
        <v>2246</v>
      </c>
      <c r="J2247" s="87">
        <v>0.70258256208351355</v>
      </c>
      <c r="K2247" s="87">
        <v>7.5810409037601572</v>
      </c>
    </row>
    <row r="2248" spans="9:11" x14ac:dyDescent="0.25">
      <c r="I2248" s="86">
        <v>2247</v>
      </c>
      <c r="J2248" s="87">
        <v>3.1642849900552061</v>
      </c>
      <c r="K2248" s="87">
        <v>7.4631923880770765</v>
      </c>
    </row>
    <row r="2249" spans="9:11" x14ac:dyDescent="0.25">
      <c r="I2249" s="86">
        <v>2248</v>
      </c>
      <c r="J2249" s="87">
        <v>0.14900391854442141</v>
      </c>
      <c r="K2249" s="87">
        <v>5.6204472287848555</v>
      </c>
    </row>
    <row r="2250" spans="9:11" x14ac:dyDescent="0.25">
      <c r="I2250" s="86">
        <v>2249</v>
      </c>
      <c r="J2250" s="87">
        <v>2.4687652687626689</v>
      </c>
      <c r="K2250" s="87">
        <v>5.7321008914650156</v>
      </c>
    </row>
    <row r="2251" spans="9:11" x14ac:dyDescent="0.25">
      <c r="I2251" s="86">
        <v>2250</v>
      </c>
      <c r="J2251" s="87">
        <v>1.1391854295739559</v>
      </c>
      <c r="K2251" s="87">
        <v>5.275623809477044</v>
      </c>
    </row>
    <row r="2252" spans="9:11" x14ac:dyDescent="0.25">
      <c r="I2252" s="86">
        <v>2251</v>
      </c>
      <c r="J2252" s="87">
        <v>-0.51301611640884293</v>
      </c>
      <c r="K2252" s="87">
        <v>5.4456577105054098</v>
      </c>
    </row>
    <row r="2253" spans="9:11" x14ac:dyDescent="0.25">
      <c r="I2253" s="86">
        <v>2252</v>
      </c>
      <c r="J2253" s="87">
        <v>1.9344617333931584</v>
      </c>
      <c r="K2253" s="87">
        <v>8.1817563414446859</v>
      </c>
    </row>
    <row r="2254" spans="9:11" x14ac:dyDescent="0.25">
      <c r="I2254" s="86">
        <v>2253</v>
      </c>
      <c r="J2254" s="87">
        <v>0.19902371397137841</v>
      </c>
      <c r="K2254" s="87">
        <v>7.5929441264096988</v>
      </c>
    </row>
    <row r="2255" spans="9:11" x14ac:dyDescent="0.25">
      <c r="I2255" s="86">
        <v>2254</v>
      </c>
      <c r="J2255" s="87">
        <v>3.0272946136244139</v>
      </c>
      <c r="K2255" s="87">
        <v>6.8594159579773599</v>
      </c>
    </row>
    <row r="2256" spans="9:11" x14ac:dyDescent="0.25">
      <c r="I2256" s="86">
        <v>2255</v>
      </c>
      <c r="J2256" s="87">
        <v>2.1512022933613171</v>
      </c>
      <c r="K2256" s="87">
        <v>8.1602197106844407</v>
      </c>
    </row>
    <row r="2257" spans="9:11" x14ac:dyDescent="0.25">
      <c r="I2257" s="86">
        <v>2256</v>
      </c>
      <c r="J2257" s="87">
        <v>6.3122669851654241</v>
      </c>
      <c r="K2257" s="87">
        <v>9.5995802348307642</v>
      </c>
    </row>
    <row r="2258" spans="9:11" x14ac:dyDescent="0.25">
      <c r="I2258" s="86">
        <v>2257</v>
      </c>
      <c r="J2258" s="87">
        <v>2.5118304201107371</v>
      </c>
      <c r="K2258" s="87">
        <v>7.6007856385543686</v>
      </c>
    </row>
    <row r="2259" spans="9:11" x14ac:dyDescent="0.25">
      <c r="I2259" s="86">
        <v>2258</v>
      </c>
      <c r="J2259" s="87">
        <v>2.2263888517338852</v>
      </c>
      <c r="K2259" s="87">
        <v>7.3703621289261259</v>
      </c>
    </row>
    <row r="2260" spans="9:11" x14ac:dyDescent="0.25">
      <c r="I2260" s="86">
        <v>2259</v>
      </c>
      <c r="J2260" s="87">
        <v>-0.85938904885448553</v>
      </c>
      <c r="K2260" s="87">
        <v>4.3608469823534106</v>
      </c>
    </row>
    <row r="2261" spans="9:11" x14ac:dyDescent="0.25">
      <c r="I2261" s="86">
        <v>2260</v>
      </c>
      <c r="J2261" s="87">
        <v>1.3398062749022763</v>
      </c>
      <c r="K2261" s="87">
        <v>5.4833841594309245</v>
      </c>
    </row>
    <row r="2262" spans="9:11" x14ac:dyDescent="0.25">
      <c r="I2262" s="86">
        <v>2261</v>
      </c>
      <c r="J2262" s="87">
        <v>1.7758200545593734</v>
      </c>
      <c r="K2262" s="87">
        <v>8.3854930616341772</v>
      </c>
    </row>
    <row r="2263" spans="9:11" x14ac:dyDescent="0.25">
      <c r="I2263" s="86">
        <v>2262</v>
      </c>
      <c r="J2263" s="87">
        <v>2.0659239269070859</v>
      </c>
      <c r="K2263" s="87">
        <v>5.8987559301162609</v>
      </c>
    </row>
    <row r="2264" spans="9:11" x14ac:dyDescent="0.25">
      <c r="I2264" s="86">
        <v>2263</v>
      </c>
      <c r="J2264" s="87">
        <v>1.9861665608369057</v>
      </c>
      <c r="K2264" s="87">
        <v>7.6393433071687884</v>
      </c>
    </row>
    <row r="2265" spans="9:11" x14ac:dyDescent="0.25">
      <c r="I2265" s="86">
        <v>2264</v>
      </c>
      <c r="J2265" s="87">
        <v>7.5217727377145494E-2</v>
      </c>
      <c r="K2265" s="87">
        <v>6.1946431752174771</v>
      </c>
    </row>
    <row r="2266" spans="9:11" x14ac:dyDescent="0.25">
      <c r="I2266" s="86">
        <v>2265</v>
      </c>
      <c r="J2266" s="87">
        <v>1.8141945301499414</v>
      </c>
      <c r="K2266" s="87">
        <v>6.7225245887490592</v>
      </c>
    </row>
    <row r="2267" spans="9:11" x14ac:dyDescent="0.25">
      <c r="I2267" s="86">
        <v>2266</v>
      </c>
      <c r="J2267" s="87">
        <v>-1.0033334771245075</v>
      </c>
      <c r="K2267" s="87">
        <v>5.6130893097085215</v>
      </c>
    </row>
    <row r="2268" spans="9:11" x14ac:dyDescent="0.25">
      <c r="I2268" s="86">
        <v>2267</v>
      </c>
      <c r="J2268" s="87">
        <v>1.2720713275123696</v>
      </c>
      <c r="K2268" s="87">
        <v>8.1918345749975341</v>
      </c>
    </row>
    <row r="2269" spans="9:11" x14ac:dyDescent="0.25">
      <c r="I2269" s="86">
        <v>2268</v>
      </c>
      <c r="J2269" s="87">
        <v>3.043896352829436</v>
      </c>
      <c r="K2269" s="87">
        <v>8.0650212727925297</v>
      </c>
    </row>
    <row r="2270" spans="9:11" x14ac:dyDescent="0.25">
      <c r="I2270" s="86">
        <v>2269</v>
      </c>
      <c r="J2270" s="87">
        <v>1.3043329385990825</v>
      </c>
      <c r="K2270" s="87">
        <v>7.8991496061445661</v>
      </c>
    </row>
    <row r="2271" spans="9:11" x14ac:dyDescent="0.25">
      <c r="I2271" s="86">
        <v>2270</v>
      </c>
      <c r="J2271" s="87">
        <v>8.1212995106766481</v>
      </c>
      <c r="K2271" s="87">
        <v>11.683301808529198</v>
      </c>
    </row>
    <row r="2272" spans="9:11" x14ac:dyDescent="0.25">
      <c r="I2272" s="86">
        <v>2271</v>
      </c>
      <c r="J2272" s="87">
        <v>-7.3905142387054035E-2</v>
      </c>
      <c r="K2272" s="87">
        <v>4.613373497513348</v>
      </c>
    </row>
    <row r="2273" spans="9:11" x14ac:dyDescent="0.25">
      <c r="I2273" s="86">
        <v>2272</v>
      </c>
      <c r="J2273" s="87">
        <v>-1.2893480453491146</v>
      </c>
      <c r="K2273" s="87">
        <v>4.5324196641207042</v>
      </c>
    </row>
    <row r="2274" spans="9:11" x14ac:dyDescent="0.25">
      <c r="I2274" s="86">
        <v>2273</v>
      </c>
      <c r="J2274" s="87">
        <v>1.1056526967166711</v>
      </c>
      <c r="K2274" s="87">
        <v>6.673534056037969</v>
      </c>
    </row>
    <row r="2275" spans="9:11" x14ac:dyDescent="0.25">
      <c r="I2275" s="86">
        <v>2274</v>
      </c>
      <c r="J2275" s="87">
        <v>1.6735642179115553</v>
      </c>
      <c r="K2275" s="87">
        <v>7.8579675246864547</v>
      </c>
    </row>
    <row r="2276" spans="9:11" x14ac:dyDescent="0.25">
      <c r="I2276" s="86">
        <v>2275</v>
      </c>
      <c r="J2276" s="87">
        <v>-0.46044940765392095</v>
      </c>
      <c r="K2276" s="87">
        <v>5.2714360047253175</v>
      </c>
    </row>
    <row r="2277" spans="9:11" x14ac:dyDescent="0.25">
      <c r="I2277" s="86">
        <v>2276</v>
      </c>
      <c r="J2277" s="87">
        <v>0.97217564029323178</v>
      </c>
      <c r="K2277" s="87">
        <v>4.0419203837452846</v>
      </c>
    </row>
    <row r="2278" spans="9:11" x14ac:dyDescent="0.25">
      <c r="I2278" s="86">
        <v>2277</v>
      </c>
      <c r="J2278" s="87">
        <v>2.3696059579960247</v>
      </c>
      <c r="K2278" s="87">
        <v>6.8651416836760033</v>
      </c>
    </row>
    <row r="2279" spans="9:11" x14ac:dyDescent="0.25">
      <c r="I2279" s="86">
        <v>2278</v>
      </c>
      <c r="J2279" s="87">
        <v>3.3693020218043861</v>
      </c>
      <c r="K2279" s="87">
        <v>5.3241899039665075</v>
      </c>
    </row>
    <row r="2280" spans="9:11" x14ac:dyDescent="0.25">
      <c r="I2280" s="86">
        <v>2279</v>
      </c>
      <c r="J2280" s="87">
        <v>1.9369282226924813</v>
      </c>
      <c r="K2280" s="87">
        <v>7.7899444167968621</v>
      </c>
    </row>
    <row r="2281" spans="9:11" x14ac:dyDescent="0.25">
      <c r="I2281" s="86">
        <v>2280</v>
      </c>
      <c r="J2281" s="87">
        <v>1.7561027304305217</v>
      </c>
      <c r="K2281" s="87">
        <v>7.0837659247829201</v>
      </c>
    </row>
    <row r="2282" spans="9:11" x14ac:dyDescent="0.25">
      <c r="I2282" s="86">
        <v>2281</v>
      </c>
      <c r="J2282" s="87">
        <v>6.0528110033050897</v>
      </c>
      <c r="K2282" s="87">
        <v>9.3037694363926153</v>
      </c>
    </row>
    <row r="2283" spans="9:11" x14ac:dyDescent="0.25">
      <c r="I2283" s="86">
        <v>2282</v>
      </c>
      <c r="J2283" s="87">
        <v>2.9800632649424292</v>
      </c>
      <c r="K2283" s="87">
        <v>7.9667907744047985</v>
      </c>
    </row>
    <row r="2284" spans="9:11" x14ac:dyDescent="0.25">
      <c r="I2284" s="86">
        <v>2283</v>
      </c>
      <c r="J2284" s="87">
        <v>1.1659142945064938</v>
      </c>
      <c r="K2284" s="87">
        <v>7.301858322792361</v>
      </c>
    </row>
    <row r="2285" spans="9:11" x14ac:dyDescent="0.25">
      <c r="I2285" s="86">
        <v>2284</v>
      </c>
      <c r="J2285" s="87">
        <v>7.2711831811539369</v>
      </c>
      <c r="K2285" s="87">
        <v>8.7188402232739364</v>
      </c>
    </row>
    <row r="2286" spans="9:11" x14ac:dyDescent="0.25">
      <c r="I2286" s="86">
        <v>2285</v>
      </c>
      <c r="J2286" s="87">
        <v>1.3431324761197279</v>
      </c>
      <c r="K2286" s="87">
        <v>5.8010143215164804</v>
      </c>
    </row>
    <row r="2287" spans="9:11" x14ac:dyDescent="0.25">
      <c r="I2287" s="86">
        <v>2286</v>
      </c>
      <c r="J2287" s="87">
        <v>-1.5738164148701248</v>
      </c>
      <c r="K2287" s="87">
        <v>4.9106028048011625</v>
      </c>
    </row>
    <row r="2288" spans="9:11" x14ac:dyDescent="0.25">
      <c r="I2288" s="86">
        <v>2287</v>
      </c>
      <c r="J2288" s="87">
        <v>0.39677206220840677</v>
      </c>
      <c r="K2288" s="87">
        <v>6.0826489641849326</v>
      </c>
    </row>
    <row r="2289" spans="9:11" x14ac:dyDescent="0.25">
      <c r="I2289" s="86">
        <v>2288</v>
      </c>
      <c r="J2289" s="87">
        <v>10.694903994611101</v>
      </c>
      <c r="K2289" s="87">
        <v>12.316827330556301</v>
      </c>
    </row>
    <row r="2290" spans="9:11" x14ac:dyDescent="0.25">
      <c r="I2290" s="86">
        <v>2289</v>
      </c>
      <c r="J2290" s="87">
        <v>2.8317634432866008</v>
      </c>
      <c r="K2290" s="87">
        <v>10.314778932368631</v>
      </c>
    </row>
    <row r="2291" spans="9:11" x14ac:dyDescent="0.25">
      <c r="I2291" s="86">
        <v>2290</v>
      </c>
      <c r="J2291" s="87">
        <v>2.1234699622271185</v>
      </c>
      <c r="K2291" s="87">
        <v>6.2568888467781116</v>
      </c>
    </row>
    <row r="2292" spans="9:11" x14ac:dyDescent="0.25">
      <c r="I2292" s="86">
        <v>2291</v>
      </c>
      <c r="J2292" s="87">
        <v>2.3123939781551437</v>
      </c>
      <c r="K2292" s="87">
        <v>7.0198015226797406</v>
      </c>
    </row>
    <row r="2293" spans="9:11" x14ac:dyDescent="0.25">
      <c r="I2293" s="86">
        <v>2292</v>
      </c>
      <c r="J2293" s="87">
        <v>-1.3534039711185049</v>
      </c>
      <c r="K2293" s="87">
        <v>4.9565360090792687</v>
      </c>
    </row>
    <row r="2294" spans="9:11" x14ac:dyDescent="0.25">
      <c r="I2294" s="86">
        <v>2293</v>
      </c>
      <c r="J2294" s="87">
        <v>2.7323625425012024</v>
      </c>
      <c r="K2294" s="87">
        <v>6.2736059847801648</v>
      </c>
    </row>
    <row r="2295" spans="9:11" x14ac:dyDescent="0.25">
      <c r="I2295" s="86">
        <v>2294</v>
      </c>
      <c r="J2295" s="87">
        <v>2.2907999210869541</v>
      </c>
      <c r="K2295" s="87">
        <v>7.4696869203174989</v>
      </c>
    </row>
    <row r="2296" spans="9:11" x14ac:dyDescent="0.25">
      <c r="I2296" s="86">
        <v>2295</v>
      </c>
      <c r="J2296" s="87">
        <v>1.4034697636342921</v>
      </c>
      <c r="K2296" s="87">
        <v>8.5079342777809686</v>
      </c>
    </row>
    <row r="2297" spans="9:11" x14ac:dyDescent="0.25">
      <c r="I2297" s="86">
        <v>2296</v>
      </c>
      <c r="J2297" s="87">
        <v>-1.5633501292739034</v>
      </c>
      <c r="K2297" s="87">
        <v>4.8000395854314526</v>
      </c>
    </row>
    <row r="2298" spans="9:11" x14ac:dyDescent="0.25">
      <c r="I2298" s="86">
        <v>2297</v>
      </c>
      <c r="J2298" s="87">
        <v>2.1864009407540825</v>
      </c>
      <c r="K2298" s="87">
        <v>7.355231280300452</v>
      </c>
    </row>
    <row r="2299" spans="9:11" x14ac:dyDescent="0.25">
      <c r="I2299" s="86">
        <v>2298</v>
      </c>
      <c r="J2299" s="87">
        <v>2.0328804740443021</v>
      </c>
      <c r="K2299" s="87">
        <v>6.7711905266195007</v>
      </c>
    </row>
    <row r="2300" spans="9:11" x14ac:dyDescent="0.25">
      <c r="I2300" s="86">
        <v>2299</v>
      </c>
      <c r="J2300" s="87">
        <v>2.1977697336148276</v>
      </c>
      <c r="K2300" s="87">
        <v>7.7304558875733553</v>
      </c>
    </row>
    <row r="2301" spans="9:11" x14ac:dyDescent="0.25">
      <c r="I2301" s="86">
        <v>2300</v>
      </c>
      <c r="J2301" s="87">
        <v>1.3444966230841331</v>
      </c>
      <c r="K2301" s="87">
        <v>7.5711373958619053</v>
      </c>
    </row>
    <row r="2302" spans="9:11" x14ac:dyDescent="0.25">
      <c r="I2302" s="86">
        <v>2301</v>
      </c>
      <c r="J2302" s="87">
        <v>2.5868823043388698</v>
      </c>
      <c r="K2302" s="87">
        <v>8.2349483198899147</v>
      </c>
    </row>
    <row r="2303" spans="9:11" x14ac:dyDescent="0.25">
      <c r="I2303" s="86">
        <v>2302</v>
      </c>
      <c r="J2303" s="87">
        <v>0.46059814961034018</v>
      </c>
      <c r="K2303" s="87">
        <v>7.3359381956811109</v>
      </c>
    </row>
    <row r="2304" spans="9:11" x14ac:dyDescent="0.25">
      <c r="I2304" s="86">
        <v>2303</v>
      </c>
      <c r="J2304" s="87">
        <v>-0.79342334739261222</v>
      </c>
      <c r="K2304" s="87">
        <v>6.1050780267167237</v>
      </c>
    </row>
    <row r="2305" spans="9:11" x14ac:dyDescent="0.25">
      <c r="I2305" s="86">
        <v>2304</v>
      </c>
      <c r="J2305" s="87">
        <v>1.1591132524756746</v>
      </c>
      <c r="K2305" s="87">
        <v>6.4909962047652314</v>
      </c>
    </row>
    <row r="2306" spans="9:11" x14ac:dyDescent="0.25">
      <c r="I2306" s="86">
        <v>2305</v>
      </c>
      <c r="J2306" s="87">
        <v>-2.1993841736188635</v>
      </c>
      <c r="K2306" s="87">
        <v>5.2309432171356702</v>
      </c>
    </row>
    <row r="2307" spans="9:11" x14ac:dyDescent="0.25">
      <c r="I2307" s="86">
        <v>2306</v>
      </c>
      <c r="J2307" s="87">
        <v>3.9573840774948748</v>
      </c>
      <c r="K2307" s="87">
        <v>7.1630905107367617</v>
      </c>
    </row>
    <row r="2308" spans="9:11" x14ac:dyDescent="0.25">
      <c r="I2308" s="86">
        <v>2307</v>
      </c>
      <c r="J2308" s="87">
        <v>1.8269071175764973</v>
      </c>
      <c r="K2308" s="87">
        <v>6.1536952107127085</v>
      </c>
    </row>
    <row r="2309" spans="9:11" x14ac:dyDescent="0.25">
      <c r="I2309" s="86">
        <v>2308</v>
      </c>
      <c r="J2309" s="87">
        <v>2.5840634200501293</v>
      </c>
      <c r="K2309" s="87">
        <v>7.153260052921615</v>
      </c>
    </row>
    <row r="2310" spans="9:11" x14ac:dyDescent="0.25">
      <c r="I2310" s="86">
        <v>2309</v>
      </c>
      <c r="J2310" s="87">
        <v>0.73162897313821329</v>
      </c>
      <c r="K2310" s="87">
        <v>7.269223680966042</v>
      </c>
    </row>
    <row r="2311" spans="9:11" x14ac:dyDescent="0.25">
      <c r="I2311" s="86">
        <v>2310</v>
      </c>
      <c r="J2311" s="87">
        <v>6.1222860288940417E-2</v>
      </c>
      <c r="K2311" s="87">
        <v>6.9505436916651311</v>
      </c>
    </row>
    <row r="2312" spans="9:11" x14ac:dyDescent="0.25">
      <c r="I2312" s="86">
        <v>2311</v>
      </c>
      <c r="J2312" s="87">
        <v>0.96066930072891976</v>
      </c>
      <c r="K2312" s="87">
        <v>5.8357576976596439</v>
      </c>
    </row>
    <row r="2313" spans="9:11" x14ac:dyDescent="0.25">
      <c r="I2313" s="86">
        <v>2312</v>
      </c>
      <c r="J2313" s="87">
        <v>2.7974601260396339</v>
      </c>
      <c r="K2313" s="87">
        <v>6.5144059563401893</v>
      </c>
    </row>
    <row r="2314" spans="9:11" x14ac:dyDescent="0.25">
      <c r="I2314" s="86">
        <v>2313</v>
      </c>
      <c r="J2314" s="87">
        <v>2.3561393640690271</v>
      </c>
      <c r="K2314" s="87">
        <v>6.9337855017400161</v>
      </c>
    </row>
    <row r="2315" spans="9:11" x14ac:dyDescent="0.25">
      <c r="I2315" s="86">
        <v>2314</v>
      </c>
      <c r="J2315" s="87">
        <v>4.7000056792474627</v>
      </c>
      <c r="K2315" s="87">
        <v>8.8784939164093863</v>
      </c>
    </row>
    <row r="2316" spans="9:11" x14ac:dyDescent="0.25">
      <c r="I2316" s="86">
        <v>2315</v>
      </c>
      <c r="J2316" s="87">
        <v>2.1754870510956197</v>
      </c>
      <c r="K2316" s="87">
        <v>7.3404511398759373</v>
      </c>
    </row>
    <row r="2317" spans="9:11" x14ac:dyDescent="0.25">
      <c r="I2317" s="86">
        <v>2316</v>
      </c>
      <c r="J2317" s="87">
        <v>1.0289719059391631</v>
      </c>
      <c r="K2317" s="87">
        <v>6.6564347048346395</v>
      </c>
    </row>
    <row r="2318" spans="9:11" x14ac:dyDescent="0.25">
      <c r="I2318" s="86">
        <v>2317</v>
      </c>
      <c r="J2318" s="87">
        <v>2.1606124442203809</v>
      </c>
      <c r="K2318" s="87">
        <v>8.7841769869387818</v>
      </c>
    </row>
    <row r="2319" spans="9:11" x14ac:dyDescent="0.25">
      <c r="I2319" s="86">
        <v>2318</v>
      </c>
      <c r="J2319" s="87">
        <v>0.89784603158054122</v>
      </c>
      <c r="K2319" s="87">
        <v>6.332599899387013</v>
      </c>
    </row>
    <row r="2320" spans="9:11" x14ac:dyDescent="0.25">
      <c r="I2320" s="86">
        <v>2319</v>
      </c>
      <c r="J2320" s="87">
        <v>-1.173022492962577</v>
      </c>
      <c r="K2320" s="87">
        <v>5.0557628805563146</v>
      </c>
    </row>
    <row r="2321" spans="9:11" x14ac:dyDescent="0.25">
      <c r="I2321" s="86">
        <v>2320</v>
      </c>
      <c r="J2321" s="87">
        <v>1.3974647337456831</v>
      </c>
      <c r="K2321" s="87">
        <v>6.0931735432692138</v>
      </c>
    </row>
    <row r="2322" spans="9:11" x14ac:dyDescent="0.25">
      <c r="I2322" s="86">
        <v>2321</v>
      </c>
      <c r="J2322" s="87">
        <v>3.1028659352118479</v>
      </c>
      <c r="K2322" s="87">
        <v>5.9268719451831933</v>
      </c>
    </row>
    <row r="2323" spans="9:11" x14ac:dyDescent="0.25">
      <c r="I2323" s="86">
        <v>2322</v>
      </c>
      <c r="J2323" s="87">
        <v>0.19939551806398415</v>
      </c>
      <c r="K2323" s="87">
        <v>4.9818038050364279</v>
      </c>
    </row>
    <row r="2324" spans="9:11" x14ac:dyDescent="0.25">
      <c r="I2324" s="86">
        <v>2323</v>
      </c>
      <c r="J2324" s="87">
        <v>5.0880896584723647</v>
      </c>
      <c r="K2324" s="87">
        <v>10.318210020627248</v>
      </c>
    </row>
    <row r="2325" spans="9:11" x14ac:dyDescent="0.25">
      <c r="I2325" s="86">
        <v>2324</v>
      </c>
      <c r="J2325" s="87">
        <v>2.239027387576682</v>
      </c>
      <c r="K2325" s="87">
        <v>6.8855053741298375</v>
      </c>
    </row>
    <row r="2326" spans="9:11" x14ac:dyDescent="0.25">
      <c r="I2326" s="86">
        <v>2325</v>
      </c>
      <c r="J2326" s="87">
        <v>0.86983314443988746</v>
      </c>
      <c r="K2326" s="87">
        <v>7.8134834775986226</v>
      </c>
    </row>
    <row r="2327" spans="9:11" x14ac:dyDescent="0.25">
      <c r="I2327" s="86">
        <v>2326</v>
      </c>
      <c r="J2327" s="87">
        <v>2.7189800930065973</v>
      </c>
      <c r="K2327" s="87">
        <v>8.3992753760138399</v>
      </c>
    </row>
    <row r="2328" spans="9:11" x14ac:dyDescent="0.25">
      <c r="I2328" s="86">
        <v>2327</v>
      </c>
      <c r="J2328" s="87">
        <v>0.17717710922404262</v>
      </c>
      <c r="K2328" s="87">
        <v>5.9195237859433512</v>
      </c>
    </row>
    <row r="2329" spans="9:11" x14ac:dyDescent="0.25">
      <c r="I2329" s="86">
        <v>2328</v>
      </c>
      <c r="J2329" s="87">
        <v>-1.0428966222488212</v>
      </c>
      <c r="K2329" s="87">
        <v>5.3656837129089974</v>
      </c>
    </row>
    <row r="2330" spans="9:11" x14ac:dyDescent="0.25">
      <c r="I2330" s="86">
        <v>2329</v>
      </c>
      <c r="J2330" s="87">
        <v>3.459376637369922</v>
      </c>
      <c r="K2330" s="87">
        <v>7.4433097491557705</v>
      </c>
    </row>
    <row r="2331" spans="9:11" x14ac:dyDescent="0.25">
      <c r="I2331" s="86">
        <v>2330</v>
      </c>
      <c r="J2331" s="87">
        <v>1.9492542782558768</v>
      </c>
      <c r="K2331" s="87">
        <v>9.5658194988624174</v>
      </c>
    </row>
    <row r="2332" spans="9:11" x14ac:dyDescent="0.25">
      <c r="I2332" s="86">
        <v>2331</v>
      </c>
      <c r="J2332" s="87">
        <v>14.217721164365884</v>
      </c>
      <c r="K2332" s="87">
        <v>12.498614840209804</v>
      </c>
    </row>
    <row r="2333" spans="9:11" x14ac:dyDescent="0.25">
      <c r="I2333" s="86">
        <v>2332</v>
      </c>
      <c r="J2333" s="87">
        <v>0.38298743162830462</v>
      </c>
      <c r="K2333" s="87">
        <v>4.8205761395386348</v>
      </c>
    </row>
    <row r="2334" spans="9:11" x14ac:dyDescent="0.25">
      <c r="I2334" s="86">
        <v>2333</v>
      </c>
      <c r="J2334" s="87">
        <v>4.2507922216411451</v>
      </c>
      <c r="K2334" s="87">
        <v>9.158127487056456</v>
      </c>
    </row>
    <row r="2335" spans="9:11" x14ac:dyDescent="0.25">
      <c r="I2335" s="86">
        <v>2334</v>
      </c>
      <c r="J2335" s="87">
        <v>5.2094199192886084</v>
      </c>
      <c r="K2335" s="87">
        <v>9.991341554549944</v>
      </c>
    </row>
    <row r="2336" spans="9:11" x14ac:dyDescent="0.25">
      <c r="I2336" s="86">
        <v>2335</v>
      </c>
      <c r="J2336" s="87">
        <v>0.55621423030038208</v>
      </c>
      <c r="K2336" s="87">
        <v>6.7367346745450973</v>
      </c>
    </row>
    <row r="2337" spans="9:11" x14ac:dyDescent="0.25">
      <c r="I2337" s="86">
        <v>2336</v>
      </c>
      <c r="J2337" s="87">
        <v>4.9816797607772569</v>
      </c>
      <c r="K2337" s="87">
        <v>8.6698593587535822</v>
      </c>
    </row>
    <row r="2338" spans="9:11" x14ac:dyDescent="0.25">
      <c r="I2338" s="86">
        <v>2337</v>
      </c>
      <c r="J2338" s="87">
        <v>0.5677069021380774</v>
      </c>
      <c r="K2338" s="87">
        <v>6.694049874326943</v>
      </c>
    </row>
    <row r="2339" spans="9:11" x14ac:dyDescent="0.25">
      <c r="I2339" s="86">
        <v>2338</v>
      </c>
      <c r="J2339" s="87">
        <v>7.5395708479690011</v>
      </c>
      <c r="K2339" s="87">
        <v>9.8662691991459077</v>
      </c>
    </row>
    <row r="2340" spans="9:11" x14ac:dyDescent="0.25">
      <c r="I2340" s="86">
        <v>2339</v>
      </c>
      <c r="J2340" s="87">
        <v>3.2398823576516325</v>
      </c>
      <c r="K2340" s="87">
        <v>7.5245366049567552</v>
      </c>
    </row>
    <row r="2341" spans="9:11" x14ac:dyDescent="0.25">
      <c r="I2341" s="86">
        <v>2340</v>
      </c>
      <c r="J2341" s="87">
        <v>-0.42120951073879009</v>
      </c>
      <c r="K2341" s="87">
        <v>4.9811535996209413</v>
      </c>
    </row>
    <row r="2342" spans="9:11" x14ac:dyDescent="0.25">
      <c r="I2342" s="86">
        <v>2341</v>
      </c>
      <c r="J2342" s="87">
        <v>4.250815722805406</v>
      </c>
      <c r="K2342" s="87">
        <v>11.922658281317938</v>
      </c>
    </row>
    <row r="2343" spans="9:11" x14ac:dyDescent="0.25">
      <c r="I2343" s="86">
        <v>2342</v>
      </c>
      <c r="J2343" s="87">
        <v>5.2882953070941898</v>
      </c>
      <c r="K2343" s="87">
        <v>8.4284739547621292</v>
      </c>
    </row>
    <row r="2344" spans="9:11" x14ac:dyDescent="0.25">
      <c r="I2344" s="86">
        <v>2343</v>
      </c>
      <c r="J2344" s="87">
        <v>4.5988661469654399</v>
      </c>
      <c r="K2344" s="87">
        <v>8.6960206248842269</v>
      </c>
    </row>
    <row r="2345" spans="9:11" x14ac:dyDescent="0.25">
      <c r="I2345" s="86">
        <v>2344</v>
      </c>
      <c r="J2345" s="87">
        <v>0.51580846898395682</v>
      </c>
      <c r="K2345" s="87">
        <v>5.4607247133873136</v>
      </c>
    </row>
    <row r="2346" spans="9:11" x14ac:dyDescent="0.25">
      <c r="I2346" s="86">
        <v>2345</v>
      </c>
      <c r="J2346" s="87">
        <v>0.85367856069760428</v>
      </c>
      <c r="K2346" s="87">
        <v>4.5333701263025548</v>
      </c>
    </row>
    <row r="2347" spans="9:11" x14ac:dyDescent="0.25">
      <c r="I2347" s="86">
        <v>2346</v>
      </c>
      <c r="J2347" s="87">
        <v>0.41003689673781629</v>
      </c>
      <c r="K2347" s="87">
        <v>6.0593912119505982</v>
      </c>
    </row>
    <row r="2348" spans="9:11" x14ac:dyDescent="0.25">
      <c r="I2348" s="86">
        <v>2347</v>
      </c>
      <c r="J2348" s="87">
        <v>2.4266471897401241</v>
      </c>
      <c r="K2348" s="87">
        <v>8.262181308646614</v>
      </c>
    </row>
    <row r="2349" spans="9:11" x14ac:dyDescent="0.25">
      <c r="I2349" s="86">
        <v>2348</v>
      </c>
      <c r="J2349" s="87">
        <v>2.1105293606598527</v>
      </c>
      <c r="K2349" s="87">
        <v>7.7844199659656343</v>
      </c>
    </row>
    <row r="2350" spans="9:11" x14ac:dyDescent="0.25">
      <c r="I2350" s="86">
        <v>2349</v>
      </c>
      <c r="J2350" s="87">
        <v>4.942304740728046</v>
      </c>
      <c r="K2350" s="87">
        <v>7.8734801913007564</v>
      </c>
    </row>
    <row r="2351" spans="9:11" x14ac:dyDescent="0.25">
      <c r="I2351" s="86">
        <v>2350</v>
      </c>
      <c r="J2351" s="87">
        <v>8.9734107745672009</v>
      </c>
      <c r="K2351" s="87">
        <v>11.735778884366184</v>
      </c>
    </row>
    <row r="2352" spans="9:11" x14ac:dyDescent="0.25">
      <c r="I2352" s="86">
        <v>2351</v>
      </c>
      <c r="J2352" s="87">
        <v>3.5661034123330895</v>
      </c>
      <c r="K2352" s="87">
        <v>8.5624358117545771</v>
      </c>
    </row>
    <row r="2353" spans="9:11" x14ac:dyDescent="0.25">
      <c r="I2353" s="86">
        <v>2352</v>
      </c>
      <c r="J2353" s="87">
        <v>1.4545643062473532</v>
      </c>
      <c r="K2353" s="87">
        <v>6.8916296599899605</v>
      </c>
    </row>
    <row r="2354" spans="9:11" x14ac:dyDescent="0.25">
      <c r="I2354" s="86">
        <v>2353</v>
      </c>
      <c r="J2354" s="87">
        <v>0.43667876844549269</v>
      </c>
      <c r="K2354" s="87">
        <v>6.4671793877560892</v>
      </c>
    </row>
    <row r="2355" spans="9:11" x14ac:dyDescent="0.25">
      <c r="I2355" s="86">
        <v>2354</v>
      </c>
      <c r="J2355" s="87">
        <v>3.067833530013016</v>
      </c>
      <c r="K2355" s="87">
        <v>6.287145020964922</v>
      </c>
    </row>
    <row r="2356" spans="9:11" x14ac:dyDescent="0.25">
      <c r="I2356" s="86">
        <v>2355</v>
      </c>
      <c r="J2356" s="87">
        <v>-1.631296763165921</v>
      </c>
      <c r="K2356" s="87">
        <v>4.2830999811517794</v>
      </c>
    </row>
    <row r="2357" spans="9:11" x14ac:dyDescent="0.25">
      <c r="I2357" s="86">
        <v>2356</v>
      </c>
      <c r="J2357" s="87">
        <v>3.7867649068397222</v>
      </c>
      <c r="K2357" s="87">
        <v>9.356198950649631</v>
      </c>
    </row>
    <row r="2358" spans="9:11" x14ac:dyDescent="0.25">
      <c r="I2358" s="86">
        <v>2357</v>
      </c>
      <c r="J2358" s="87">
        <v>3.1128878418199655</v>
      </c>
      <c r="K2358" s="87">
        <v>9.3058440690094066</v>
      </c>
    </row>
    <row r="2359" spans="9:11" x14ac:dyDescent="0.25">
      <c r="I2359" s="86">
        <v>2358</v>
      </c>
      <c r="J2359" s="87">
        <v>1.2594698348143334</v>
      </c>
      <c r="K2359" s="87">
        <v>6.7099828258000462</v>
      </c>
    </row>
    <row r="2360" spans="9:11" x14ac:dyDescent="0.25">
      <c r="I2360" s="86">
        <v>2359</v>
      </c>
      <c r="J2360" s="87">
        <v>0.90930151827337902</v>
      </c>
      <c r="K2360" s="87">
        <v>7.0267365572711871</v>
      </c>
    </row>
    <row r="2361" spans="9:11" x14ac:dyDescent="0.25">
      <c r="I2361" s="86">
        <v>2360</v>
      </c>
      <c r="J2361" s="87">
        <v>1.6204438887066059</v>
      </c>
      <c r="K2361" s="87">
        <v>6.4004512053425655</v>
      </c>
    </row>
    <row r="2362" spans="9:11" x14ac:dyDescent="0.25">
      <c r="I2362" s="86">
        <v>2361</v>
      </c>
      <c r="J2362" s="87">
        <v>1.4869870573894062</v>
      </c>
      <c r="K2362" s="87">
        <v>6.3177679867044487</v>
      </c>
    </row>
    <row r="2363" spans="9:11" x14ac:dyDescent="0.25">
      <c r="I2363" s="86">
        <v>2362</v>
      </c>
      <c r="J2363" s="87">
        <v>3.900132603314912</v>
      </c>
      <c r="K2363" s="87">
        <v>10.578050217970519</v>
      </c>
    </row>
    <row r="2364" spans="9:11" x14ac:dyDescent="0.25">
      <c r="I2364" s="86">
        <v>2363</v>
      </c>
      <c r="J2364" s="87">
        <v>1.3528550872105254</v>
      </c>
      <c r="K2364" s="87">
        <v>5.4706463728363817</v>
      </c>
    </row>
    <row r="2365" spans="9:11" x14ac:dyDescent="0.25">
      <c r="I2365" s="86">
        <v>2364</v>
      </c>
      <c r="J2365" s="87">
        <v>8.3288474568505393</v>
      </c>
      <c r="K2365" s="87">
        <v>9.9365835247414971</v>
      </c>
    </row>
    <row r="2366" spans="9:11" x14ac:dyDescent="0.25">
      <c r="I2366" s="86">
        <v>2365</v>
      </c>
      <c r="J2366" s="87">
        <v>2.6124242993647968</v>
      </c>
      <c r="K2366" s="87">
        <v>9.3983598624524145</v>
      </c>
    </row>
    <row r="2367" spans="9:11" x14ac:dyDescent="0.25">
      <c r="I2367" s="86">
        <v>2366</v>
      </c>
      <c r="J2367" s="87">
        <v>3.5401796568293502</v>
      </c>
      <c r="K2367" s="87">
        <v>7.8471828022822052</v>
      </c>
    </row>
    <row r="2368" spans="9:11" x14ac:dyDescent="0.25">
      <c r="I2368" s="86">
        <v>2367</v>
      </c>
      <c r="J2368" s="87">
        <v>-0.94249115134923311</v>
      </c>
      <c r="K2368" s="87">
        <v>5.2328940855099537</v>
      </c>
    </row>
    <row r="2369" spans="9:11" x14ac:dyDescent="0.25">
      <c r="I2369" s="86">
        <v>2368</v>
      </c>
      <c r="J2369" s="87">
        <v>3.760312286074428</v>
      </c>
      <c r="K2369" s="87">
        <v>7.9416148905458277</v>
      </c>
    </row>
    <row r="2370" spans="9:11" x14ac:dyDescent="0.25">
      <c r="I2370" s="86">
        <v>2369</v>
      </c>
      <c r="J2370" s="87">
        <v>5.921880885534974</v>
      </c>
      <c r="K2370" s="87">
        <v>9.5095960236813664</v>
      </c>
    </row>
    <row r="2371" spans="9:11" x14ac:dyDescent="0.25">
      <c r="I2371" s="86">
        <v>2370</v>
      </c>
      <c r="J2371" s="87">
        <v>2.4813763549422152</v>
      </c>
      <c r="K2371" s="87">
        <v>6.9327362246072051</v>
      </c>
    </row>
    <row r="2372" spans="9:11" x14ac:dyDescent="0.25">
      <c r="I2372" s="86">
        <v>2371</v>
      </c>
      <c r="J2372" s="87">
        <v>5.1742916682958624</v>
      </c>
      <c r="K2372" s="87">
        <v>8.0144757482028943</v>
      </c>
    </row>
    <row r="2373" spans="9:11" x14ac:dyDescent="0.25">
      <c r="I2373" s="86">
        <v>2372</v>
      </c>
      <c r="J2373" s="87">
        <v>0.70513080064825662</v>
      </c>
      <c r="K2373" s="87">
        <v>6.6720344328644243</v>
      </c>
    </row>
    <row r="2374" spans="9:11" x14ac:dyDescent="0.25">
      <c r="I2374" s="86">
        <v>2373</v>
      </c>
      <c r="J2374" s="87">
        <v>2.4810998899464494</v>
      </c>
      <c r="K2374" s="87">
        <v>9.6499803487667961</v>
      </c>
    </row>
    <row r="2375" spans="9:11" x14ac:dyDescent="0.25">
      <c r="I2375" s="86">
        <v>2374</v>
      </c>
      <c r="J2375" s="87">
        <v>4.0223969683272642</v>
      </c>
      <c r="K2375" s="87">
        <v>10.386601185281958</v>
      </c>
    </row>
    <row r="2376" spans="9:11" x14ac:dyDescent="0.25">
      <c r="I2376" s="86">
        <v>2375</v>
      </c>
      <c r="J2376" s="87">
        <v>-9.344903011766803E-2</v>
      </c>
      <c r="K2376" s="87">
        <v>7.4253800009109812</v>
      </c>
    </row>
    <row r="2377" spans="9:11" x14ac:dyDescent="0.25">
      <c r="I2377" s="86">
        <v>2376</v>
      </c>
      <c r="J2377" s="87">
        <v>3.4510553966301778</v>
      </c>
      <c r="K2377" s="87">
        <v>6.5076431022568118</v>
      </c>
    </row>
    <row r="2378" spans="9:11" x14ac:dyDescent="0.25">
      <c r="I2378" s="86">
        <v>2377</v>
      </c>
      <c r="J2378" s="87">
        <v>1.6797493511512886</v>
      </c>
      <c r="K2378" s="87">
        <v>8.179659332898634</v>
      </c>
    </row>
    <row r="2379" spans="9:11" x14ac:dyDescent="0.25">
      <c r="I2379" s="86">
        <v>2378</v>
      </c>
      <c r="J2379" s="87">
        <v>-1.5370160135896773</v>
      </c>
      <c r="K2379" s="87">
        <v>4.921097681936728</v>
      </c>
    </row>
    <row r="2380" spans="9:11" x14ac:dyDescent="0.25">
      <c r="I2380" s="86">
        <v>2379</v>
      </c>
      <c r="J2380" s="87">
        <v>2.1047363513344308</v>
      </c>
      <c r="K2380" s="87">
        <v>6.1814108141097623</v>
      </c>
    </row>
    <row r="2381" spans="9:11" x14ac:dyDescent="0.25">
      <c r="I2381" s="86">
        <v>2380</v>
      </c>
      <c r="J2381" s="87">
        <v>2.3575245987095883</v>
      </c>
      <c r="K2381" s="87">
        <v>7.096935468270603</v>
      </c>
    </row>
    <row r="2382" spans="9:11" x14ac:dyDescent="0.25">
      <c r="I2382" s="86">
        <v>2381</v>
      </c>
      <c r="J2382" s="87">
        <v>0.32081676918002611</v>
      </c>
      <c r="K2382" s="87">
        <v>5.5049657050895284</v>
      </c>
    </row>
    <row r="2383" spans="9:11" x14ac:dyDescent="0.25">
      <c r="I2383" s="86">
        <v>2382</v>
      </c>
      <c r="J2383" s="87">
        <v>1.3021347295046866</v>
      </c>
      <c r="K2383" s="87">
        <v>7.3198776369579868</v>
      </c>
    </row>
    <row r="2384" spans="9:11" x14ac:dyDescent="0.25">
      <c r="I2384" s="86">
        <v>2383</v>
      </c>
      <c r="J2384" s="87">
        <v>-0.74031414155052566</v>
      </c>
      <c r="K2384" s="87">
        <v>5.9785970176849448</v>
      </c>
    </row>
    <row r="2385" spans="9:11" x14ac:dyDescent="0.25">
      <c r="I2385" s="86">
        <v>2384</v>
      </c>
      <c r="J2385" s="87">
        <v>2.3708551062559735</v>
      </c>
      <c r="K2385" s="87">
        <v>7.092818146068689</v>
      </c>
    </row>
    <row r="2386" spans="9:11" x14ac:dyDescent="0.25">
      <c r="I2386" s="86">
        <v>2385</v>
      </c>
      <c r="J2386" s="87">
        <v>1.4138007614164136</v>
      </c>
      <c r="K2386" s="87">
        <v>5.6462882692226763</v>
      </c>
    </row>
    <row r="2387" spans="9:11" x14ac:dyDescent="0.25">
      <c r="I2387" s="86">
        <v>2386</v>
      </c>
      <c r="J2387" s="87">
        <v>-1.0900521572962045</v>
      </c>
      <c r="K2387" s="87">
        <v>6.1136727634891175</v>
      </c>
    </row>
    <row r="2388" spans="9:11" x14ac:dyDescent="0.25">
      <c r="I2388" s="86">
        <v>2387</v>
      </c>
      <c r="J2388" s="87">
        <v>1.3516148700686248</v>
      </c>
      <c r="K2388" s="87">
        <v>6.6543377212826789</v>
      </c>
    </row>
    <row r="2389" spans="9:11" x14ac:dyDescent="0.25">
      <c r="I2389" s="86">
        <v>2388</v>
      </c>
      <c r="J2389" s="87">
        <v>1.0754091895096551</v>
      </c>
      <c r="K2389" s="87">
        <v>6.0629164929433514</v>
      </c>
    </row>
    <row r="2390" spans="9:11" x14ac:dyDescent="0.25">
      <c r="I2390" s="86">
        <v>2389</v>
      </c>
      <c r="J2390" s="87">
        <v>1.2509718026811649</v>
      </c>
      <c r="K2390" s="87">
        <v>7.1466333934398882</v>
      </c>
    </row>
    <row r="2391" spans="9:11" x14ac:dyDescent="0.25">
      <c r="I2391" s="86">
        <v>2390</v>
      </c>
      <c r="J2391" s="87">
        <v>2.7137361354646163</v>
      </c>
      <c r="K2391" s="87">
        <v>7.8344732065975657</v>
      </c>
    </row>
    <row r="2392" spans="9:11" x14ac:dyDescent="0.25">
      <c r="I2392" s="86">
        <v>2391</v>
      </c>
      <c r="J2392" s="87">
        <v>1.2453007006173378</v>
      </c>
      <c r="K2392" s="87">
        <v>5.4942916150443573</v>
      </c>
    </row>
    <row r="2393" spans="9:11" x14ac:dyDescent="0.25">
      <c r="I2393" s="86">
        <v>2392</v>
      </c>
      <c r="J2393" s="87">
        <v>8.8907312200553914</v>
      </c>
      <c r="K2393" s="87">
        <v>8.5620067715965007</v>
      </c>
    </row>
    <row r="2394" spans="9:11" x14ac:dyDescent="0.25">
      <c r="I2394" s="86">
        <v>2393</v>
      </c>
      <c r="J2394" s="87">
        <v>0.26179027308101865</v>
      </c>
      <c r="K2394" s="87">
        <v>4.4937556787115973</v>
      </c>
    </row>
    <row r="2395" spans="9:11" x14ac:dyDescent="0.25">
      <c r="I2395" s="86">
        <v>2394</v>
      </c>
      <c r="J2395" s="87">
        <v>1.1109009277106154</v>
      </c>
      <c r="K2395" s="87">
        <v>4.93498713398807</v>
      </c>
    </row>
    <row r="2396" spans="9:11" x14ac:dyDescent="0.25">
      <c r="I2396" s="86">
        <v>2395</v>
      </c>
      <c r="J2396" s="87">
        <v>1.7634587501296304</v>
      </c>
      <c r="K2396" s="87">
        <v>6.5235790936838276</v>
      </c>
    </row>
    <row r="2397" spans="9:11" x14ac:dyDescent="0.25">
      <c r="I2397" s="86">
        <v>2396</v>
      </c>
      <c r="J2397" s="87">
        <v>9.0708270940532394</v>
      </c>
      <c r="K2397" s="87">
        <v>11.297043570484369</v>
      </c>
    </row>
    <row r="2398" spans="9:11" x14ac:dyDescent="0.25">
      <c r="I2398" s="86">
        <v>2397</v>
      </c>
      <c r="J2398" s="87">
        <v>1.6071877331825641</v>
      </c>
      <c r="K2398" s="87">
        <v>7.6127118751127476</v>
      </c>
    </row>
    <row r="2399" spans="9:11" x14ac:dyDescent="0.25">
      <c r="I2399" s="86">
        <v>2398</v>
      </c>
      <c r="J2399" s="87">
        <v>2.4676395941564016</v>
      </c>
      <c r="K2399" s="87">
        <v>8.2111062959676424</v>
      </c>
    </row>
    <row r="2400" spans="9:11" x14ac:dyDescent="0.25">
      <c r="I2400" s="86">
        <v>2399</v>
      </c>
      <c r="J2400" s="87">
        <v>5.0524960097858154</v>
      </c>
      <c r="K2400" s="87">
        <v>8.0902307411241168</v>
      </c>
    </row>
    <row r="2401" spans="9:11" x14ac:dyDescent="0.25">
      <c r="I2401" s="86">
        <v>2400</v>
      </c>
      <c r="J2401" s="87">
        <v>7.0267895488019825</v>
      </c>
      <c r="K2401" s="87">
        <v>9.6777704447372983</v>
      </c>
    </row>
    <row r="2402" spans="9:11" x14ac:dyDescent="0.25">
      <c r="I2402" s="86">
        <v>2401</v>
      </c>
      <c r="J2402" s="87">
        <v>0.99592381407254127</v>
      </c>
      <c r="K2402" s="87">
        <v>6.6316265790246582</v>
      </c>
    </row>
    <row r="2403" spans="9:11" x14ac:dyDescent="0.25">
      <c r="I2403" s="86">
        <v>2402</v>
      </c>
      <c r="J2403" s="87">
        <v>4.4511274297988912</v>
      </c>
      <c r="K2403" s="87">
        <v>9.9889724591349793</v>
      </c>
    </row>
    <row r="2404" spans="9:11" x14ac:dyDescent="0.25">
      <c r="I2404" s="86">
        <v>2403</v>
      </c>
      <c r="J2404" s="87">
        <v>2.0265947435425256</v>
      </c>
      <c r="K2404" s="87">
        <v>5.455180023610537</v>
      </c>
    </row>
    <row r="2405" spans="9:11" x14ac:dyDescent="0.25">
      <c r="I2405" s="86">
        <v>2404</v>
      </c>
      <c r="J2405" s="87">
        <v>-1.8572622793983902</v>
      </c>
      <c r="K2405" s="87">
        <v>5.1412083619795466</v>
      </c>
    </row>
    <row r="2406" spans="9:11" x14ac:dyDescent="0.25">
      <c r="I2406" s="86">
        <v>2405</v>
      </c>
      <c r="J2406" s="87">
        <v>1.6789385393347409</v>
      </c>
      <c r="K2406" s="87">
        <v>6.2065392938744015</v>
      </c>
    </row>
    <row r="2407" spans="9:11" x14ac:dyDescent="0.25">
      <c r="I2407" s="86">
        <v>2406</v>
      </c>
      <c r="J2407" s="87">
        <v>1.3305311946767331</v>
      </c>
      <c r="K2407" s="87">
        <v>7.3633064770132171</v>
      </c>
    </row>
    <row r="2408" spans="9:11" x14ac:dyDescent="0.25">
      <c r="I2408" s="86">
        <v>2407</v>
      </c>
      <c r="J2408" s="87">
        <v>11.323829434806788</v>
      </c>
      <c r="K2408" s="87">
        <v>11.829955172178609</v>
      </c>
    </row>
    <row r="2409" spans="9:11" x14ac:dyDescent="0.25">
      <c r="I2409" s="86">
        <v>2408</v>
      </c>
      <c r="J2409" s="87">
        <v>1.1221019134753951</v>
      </c>
      <c r="K2409" s="87">
        <v>5.7974799259355816</v>
      </c>
    </row>
    <row r="2410" spans="9:11" x14ac:dyDescent="0.25">
      <c r="I2410" s="86">
        <v>2409</v>
      </c>
      <c r="J2410" s="87">
        <v>1.5790697601982311</v>
      </c>
      <c r="K2410" s="87">
        <v>6.2458008386480026</v>
      </c>
    </row>
    <row r="2411" spans="9:11" x14ac:dyDescent="0.25">
      <c r="I2411" s="86">
        <v>2410</v>
      </c>
      <c r="J2411" s="87">
        <v>-0.96445749657525681</v>
      </c>
      <c r="K2411" s="87">
        <v>5.7505509565875546</v>
      </c>
    </row>
    <row r="2412" spans="9:11" x14ac:dyDescent="0.25">
      <c r="I2412" s="86">
        <v>2411</v>
      </c>
      <c r="J2412" s="87">
        <v>2.2859720344893173</v>
      </c>
      <c r="K2412" s="87">
        <v>8.1715371064423969</v>
      </c>
    </row>
    <row r="2413" spans="9:11" x14ac:dyDescent="0.25">
      <c r="I2413" s="86">
        <v>2412</v>
      </c>
      <c r="J2413" s="87">
        <v>2.6430629599821085</v>
      </c>
      <c r="K2413" s="87">
        <v>7.3286392763965837</v>
      </c>
    </row>
    <row r="2414" spans="9:11" x14ac:dyDescent="0.25">
      <c r="I2414" s="86">
        <v>2413</v>
      </c>
      <c r="J2414" s="87">
        <v>3.064059866565759</v>
      </c>
      <c r="K2414" s="87">
        <v>5.8832653084982498</v>
      </c>
    </row>
    <row r="2415" spans="9:11" x14ac:dyDescent="0.25">
      <c r="I2415" s="86">
        <v>2414</v>
      </c>
      <c r="J2415" s="87">
        <v>1.7939968040928909</v>
      </c>
      <c r="K2415" s="87">
        <v>7.6213879924310115</v>
      </c>
    </row>
    <row r="2416" spans="9:11" x14ac:dyDescent="0.25">
      <c r="I2416" s="86">
        <v>2415</v>
      </c>
      <c r="J2416" s="87">
        <v>2.5652758939607931</v>
      </c>
      <c r="K2416" s="87">
        <v>8.136402964320018</v>
      </c>
    </row>
    <row r="2417" spans="9:11" x14ac:dyDescent="0.25">
      <c r="I2417" s="86">
        <v>2416</v>
      </c>
      <c r="J2417" s="87">
        <v>1.4020003773437884</v>
      </c>
      <c r="K2417" s="87">
        <v>5.8251293015382792</v>
      </c>
    </row>
    <row r="2418" spans="9:11" x14ac:dyDescent="0.25">
      <c r="I2418" s="86">
        <v>2417</v>
      </c>
      <c r="J2418" s="87">
        <v>1.830163420906751</v>
      </c>
      <c r="K2418" s="87">
        <v>6.8324298917216728</v>
      </c>
    </row>
    <row r="2419" spans="9:11" x14ac:dyDescent="0.25">
      <c r="I2419" s="86">
        <v>2418</v>
      </c>
      <c r="J2419" s="87">
        <v>-0.24012566815518621</v>
      </c>
      <c r="K2419" s="87">
        <v>5.8934240484968754</v>
      </c>
    </row>
    <row r="2420" spans="9:11" x14ac:dyDescent="0.25">
      <c r="I2420" s="86">
        <v>2419</v>
      </c>
      <c r="J2420" s="87">
        <v>5.0132543332753041</v>
      </c>
      <c r="K2420" s="87">
        <v>10.580587076385017</v>
      </c>
    </row>
    <row r="2421" spans="9:11" x14ac:dyDescent="0.25">
      <c r="I2421" s="86">
        <v>2420</v>
      </c>
      <c r="J2421" s="87">
        <v>1.0965871102919511</v>
      </c>
      <c r="K2421" s="87">
        <v>7.4149282755020094</v>
      </c>
    </row>
    <row r="2422" spans="9:11" x14ac:dyDescent="0.25">
      <c r="I2422" s="86">
        <v>2421</v>
      </c>
      <c r="J2422" s="87">
        <v>6.2491057560057488</v>
      </c>
      <c r="K2422" s="87">
        <v>7.0908045204828856</v>
      </c>
    </row>
    <row r="2423" spans="9:11" x14ac:dyDescent="0.25">
      <c r="I2423" s="86">
        <v>2422</v>
      </c>
      <c r="J2423" s="87">
        <v>1.1276482782241146</v>
      </c>
      <c r="K2423" s="87">
        <v>6.6089130925253334</v>
      </c>
    </row>
    <row r="2424" spans="9:11" x14ac:dyDescent="0.25">
      <c r="I2424" s="86">
        <v>2423</v>
      </c>
      <c r="J2424" s="87">
        <v>0.36105138114319413</v>
      </c>
      <c r="K2424" s="87">
        <v>7.2110248852214465</v>
      </c>
    </row>
    <row r="2425" spans="9:11" x14ac:dyDescent="0.25">
      <c r="I2425" s="86">
        <v>2424</v>
      </c>
      <c r="J2425" s="87">
        <v>1.6626920617162164</v>
      </c>
      <c r="K2425" s="87">
        <v>5.5495074431801417</v>
      </c>
    </row>
    <row r="2426" spans="9:11" x14ac:dyDescent="0.25">
      <c r="I2426" s="86">
        <v>2425</v>
      </c>
      <c r="J2426" s="87">
        <v>2.6405830429209254</v>
      </c>
      <c r="K2426" s="87">
        <v>5.6590725475670824</v>
      </c>
    </row>
    <row r="2427" spans="9:11" x14ac:dyDescent="0.25">
      <c r="I2427" s="86">
        <v>2426</v>
      </c>
      <c r="J2427" s="87">
        <v>5.191945204663539</v>
      </c>
      <c r="K2427" s="87">
        <v>7.8004588126992518</v>
      </c>
    </row>
    <row r="2428" spans="9:11" x14ac:dyDescent="0.25">
      <c r="I2428" s="86">
        <v>2427</v>
      </c>
      <c r="J2428" s="87">
        <v>1.5790477187164269</v>
      </c>
      <c r="K2428" s="87">
        <v>6.2307804701796838</v>
      </c>
    </row>
    <row r="2429" spans="9:11" x14ac:dyDescent="0.25">
      <c r="I2429" s="86">
        <v>2428</v>
      </c>
      <c r="J2429" s="87">
        <v>0.51984128205730595</v>
      </c>
      <c r="K2429" s="87">
        <v>6.0178002356844136</v>
      </c>
    </row>
    <row r="2430" spans="9:11" x14ac:dyDescent="0.25">
      <c r="I2430" s="86">
        <v>2429</v>
      </c>
      <c r="J2430" s="87">
        <v>1.8096827691168502</v>
      </c>
      <c r="K2430" s="87">
        <v>5.2806063202455418</v>
      </c>
    </row>
    <row r="2431" spans="9:11" x14ac:dyDescent="0.25">
      <c r="I2431" s="86">
        <v>2430</v>
      </c>
      <c r="J2431" s="87">
        <v>2.7764005033072419</v>
      </c>
      <c r="K2431" s="87">
        <v>6.5094922672821314</v>
      </c>
    </row>
    <row r="2432" spans="9:11" x14ac:dyDescent="0.25">
      <c r="I2432" s="86">
        <v>2431</v>
      </c>
      <c r="J2432" s="87">
        <v>2.0143203894744941</v>
      </c>
      <c r="K2432" s="87">
        <v>6.0121567109582124</v>
      </c>
    </row>
    <row r="2433" spans="9:11" x14ac:dyDescent="0.25">
      <c r="I2433" s="86">
        <v>2432</v>
      </c>
      <c r="J2433" s="87">
        <v>0.86817229339765367</v>
      </c>
      <c r="K2433" s="87">
        <v>4.6698897498840068</v>
      </c>
    </row>
    <row r="2434" spans="9:11" x14ac:dyDescent="0.25">
      <c r="I2434" s="86">
        <v>2433</v>
      </c>
      <c r="J2434" s="87">
        <v>2.3466379063353511</v>
      </c>
      <c r="K2434" s="87">
        <v>7.7193321325833928</v>
      </c>
    </row>
    <row r="2435" spans="9:11" x14ac:dyDescent="0.25">
      <c r="I2435" s="86">
        <v>2434</v>
      </c>
      <c r="J2435" s="87">
        <v>3.5777629340509378</v>
      </c>
      <c r="K2435" s="87">
        <v>6.603214357620792</v>
      </c>
    </row>
    <row r="2436" spans="9:11" x14ac:dyDescent="0.25">
      <c r="I2436" s="86">
        <v>2435</v>
      </c>
      <c r="J2436" s="87">
        <v>0.15582904640089978</v>
      </c>
      <c r="K2436" s="87">
        <v>5.2686495659085431</v>
      </c>
    </row>
    <row r="2437" spans="9:11" x14ac:dyDescent="0.25">
      <c r="I2437" s="86">
        <v>2436</v>
      </c>
      <c r="J2437" s="87">
        <v>2.8234374619959652</v>
      </c>
      <c r="K2437" s="87">
        <v>6.3564746248121784</v>
      </c>
    </row>
    <row r="2438" spans="9:11" x14ac:dyDescent="0.25">
      <c r="I2438" s="86">
        <v>2437</v>
      </c>
      <c r="J2438" s="87">
        <v>5.0670097750991516E-2</v>
      </c>
      <c r="K2438" s="87">
        <v>5.5129308750086432</v>
      </c>
    </row>
    <row r="2439" spans="9:11" x14ac:dyDescent="0.25">
      <c r="I2439" s="86">
        <v>2438</v>
      </c>
      <c r="J2439" s="87">
        <v>2.5458263302950357</v>
      </c>
      <c r="K2439" s="87">
        <v>7.8390809423811421</v>
      </c>
    </row>
    <row r="2440" spans="9:11" x14ac:dyDescent="0.25">
      <c r="I2440" s="86">
        <v>2439</v>
      </c>
      <c r="J2440" s="87">
        <v>1.17329914750451</v>
      </c>
      <c r="K2440" s="87">
        <v>6.2862023340420068</v>
      </c>
    </row>
    <row r="2441" spans="9:11" x14ac:dyDescent="0.25">
      <c r="I2441" s="86">
        <v>2440</v>
      </c>
      <c r="J2441" s="87">
        <v>1.6670168096033233</v>
      </c>
      <c r="K2441" s="87">
        <v>8.2122328518703771</v>
      </c>
    </row>
    <row r="2442" spans="9:11" x14ac:dyDescent="0.25">
      <c r="I2442" s="86">
        <v>2441</v>
      </c>
      <c r="J2442" s="87">
        <v>1.5013711126825413</v>
      </c>
      <c r="K2442" s="87">
        <v>6.7709324373370094</v>
      </c>
    </row>
    <row r="2443" spans="9:11" x14ac:dyDescent="0.25">
      <c r="I2443" s="86">
        <v>2442</v>
      </c>
      <c r="J2443" s="87">
        <v>2.6921507742637605</v>
      </c>
      <c r="K2443" s="87">
        <v>7.3564274791641777</v>
      </c>
    </row>
    <row r="2444" spans="9:11" x14ac:dyDescent="0.25">
      <c r="I2444" s="86">
        <v>2443</v>
      </c>
      <c r="J2444" s="87">
        <v>6.9961943529141912</v>
      </c>
      <c r="K2444" s="87">
        <v>9.2503837824569768</v>
      </c>
    </row>
    <row r="2445" spans="9:11" x14ac:dyDescent="0.25">
      <c r="I2445" s="86">
        <v>2444</v>
      </c>
      <c r="J2445" s="87">
        <v>-0.29816050338617028</v>
      </c>
      <c r="K2445" s="87">
        <v>5.9493124982839216</v>
      </c>
    </row>
    <row r="2446" spans="9:11" x14ac:dyDescent="0.25">
      <c r="I2446" s="86">
        <v>2445</v>
      </c>
      <c r="J2446" s="87">
        <v>3.710694392900761</v>
      </c>
      <c r="K2446" s="87">
        <v>8.1637299482066314</v>
      </c>
    </row>
    <row r="2447" spans="9:11" x14ac:dyDescent="0.25">
      <c r="I2447" s="86">
        <v>2446</v>
      </c>
      <c r="J2447" s="87">
        <v>2.6866463539484178</v>
      </c>
      <c r="K2447" s="87">
        <v>6.0138727737777726</v>
      </c>
    </row>
    <row r="2448" spans="9:11" x14ac:dyDescent="0.25">
      <c r="I2448" s="86">
        <v>2447</v>
      </c>
      <c r="J2448" s="87">
        <v>3.8398511135269118</v>
      </c>
      <c r="K2448" s="87">
        <v>9.9878966037722101</v>
      </c>
    </row>
    <row r="2449" spans="9:11" x14ac:dyDescent="0.25">
      <c r="I2449" s="86">
        <v>2448</v>
      </c>
      <c r="J2449" s="87">
        <v>2.0986630425378037</v>
      </c>
      <c r="K2449" s="87">
        <v>7.8656386837959715</v>
      </c>
    </row>
    <row r="2450" spans="9:11" x14ac:dyDescent="0.25">
      <c r="I2450" s="86">
        <v>2449</v>
      </c>
      <c r="J2450" s="87">
        <v>-0.20877706209316216</v>
      </c>
      <c r="K2450" s="87">
        <v>4.9540540476441564</v>
      </c>
    </row>
    <row r="2451" spans="9:11" x14ac:dyDescent="0.25">
      <c r="I2451" s="86">
        <v>2450</v>
      </c>
      <c r="J2451" s="87">
        <v>0.42224089778906571</v>
      </c>
      <c r="K2451" s="87">
        <v>5.1146932942206806</v>
      </c>
    </row>
    <row r="2452" spans="9:11" x14ac:dyDescent="0.25">
      <c r="I2452" s="86">
        <v>2451</v>
      </c>
      <c r="J2452" s="87">
        <v>1.3987875661340565</v>
      </c>
      <c r="K2452" s="87">
        <v>7.9249857255012222</v>
      </c>
    </row>
    <row r="2453" spans="9:11" x14ac:dyDescent="0.25">
      <c r="I2453" s="86">
        <v>2452</v>
      </c>
      <c r="J2453" s="87">
        <v>3.07076283199026</v>
      </c>
      <c r="K2453" s="87">
        <v>7.7814290911714288</v>
      </c>
    </row>
    <row r="2454" spans="9:11" x14ac:dyDescent="0.25">
      <c r="I2454" s="86">
        <v>2453</v>
      </c>
      <c r="J2454" s="87">
        <v>3.1669336896259921</v>
      </c>
      <c r="K2454" s="87">
        <v>7.3679379588981693</v>
      </c>
    </row>
    <row r="2455" spans="9:11" x14ac:dyDescent="0.25">
      <c r="I2455" s="86">
        <v>2454</v>
      </c>
      <c r="J2455" s="87">
        <v>-1.2316325603765241</v>
      </c>
      <c r="K2455" s="87">
        <v>5.6404449422051091</v>
      </c>
    </row>
    <row r="2456" spans="9:11" x14ac:dyDescent="0.25">
      <c r="I2456" s="86">
        <v>2455</v>
      </c>
      <c r="J2456" s="87">
        <v>1.6285931355827179</v>
      </c>
      <c r="K2456" s="87">
        <v>6.5249102755513393</v>
      </c>
    </row>
    <row r="2457" spans="9:11" x14ac:dyDescent="0.25">
      <c r="I2457" s="86">
        <v>2456</v>
      </c>
      <c r="J2457" s="87">
        <v>1.851069476309223</v>
      </c>
      <c r="K2457" s="87">
        <v>6.1925623323317573</v>
      </c>
    </row>
    <row r="2458" spans="9:11" x14ac:dyDescent="0.25">
      <c r="I2458" s="86">
        <v>2457</v>
      </c>
      <c r="J2458" s="87">
        <v>2.5407439440139283</v>
      </c>
      <c r="K2458" s="87">
        <v>6.553424779725785</v>
      </c>
    </row>
    <row r="2459" spans="9:11" x14ac:dyDescent="0.25">
      <c r="I2459" s="86">
        <v>2458</v>
      </c>
      <c r="J2459" s="87">
        <v>8.2900174664219612</v>
      </c>
      <c r="K2459" s="87">
        <v>13.083497263477545</v>
      </c>
    </row>
    <row r="2460" spans="9:11" x14ac:dyDescent="0.25">
      <c r="I2460" s="86">
        <v>2459</v>
      </c>
      <c r="J2460" s="87">
        <v>2.3499874861933572</v>
      </c>
      <c r="K2460" s="87">
        <v>7.2533726253462341</v>
      </c>
    </row>
    <row r="2461" spans="9:11" x14ac:dyDescent="0.25">
      <c r="I2461" s="86">
        <v>2460</v>
      </c>
      <c r="J2461" s="87">
        <v>0.9097492142718302</v>
      </c>
      <c r="K2461" s="87">
        <v>6.0399690681946172</v>
      </c>
    </row>
    <row r="2462" spans="9:11" x14ac:dyDescent="0.25">
      <c r="I2462" s="86">
        <v>2461</v>
      </c>
      <c r="J2462" s="87">
        <v>9.182793968352744</v>
      </c>
      <c r="K2462" s="87">
        <v>12.281139253120863</v>
      </c>
    </row>
    <row r="2463" spans="9:11" x14ac:dyDescent="0.25">
      <c r="I2463" s="86">
        <v>2462</v>
      </c>
      <c r="J2463" s="87">
        <v>2.1281727117264309</v>
      </c>
      <c r="K2463" s="87">
        <v>6.761097124734877</v>
      </c>
    </row>
    <row r="2464" spans="9:11" x14ac:dyDescent="0.25">
      <c r="I2464" s="86">
        <v>2463</v>
      </c>
      <c r="J2464" s="87">
        <v>2.0598909194751798</v>
      </c>
      <c r="K2464" s="87">
        <v>7.213647395177035</v>
      </c>
    </row>
    <row r="2465" spans="9:11" x14ac:dyDescent="0.25">
      <c r="I2465" s="86">
        <v>2464</v>
      </c>
      <c r="J2465" s="87">
        <v>2.3403075501234687</v>
      </c>
      <c r="K2465" s="87">
        <v>6.4653879464241308</v>
      </c>
    </row>
    <row r="2466" spans="9:11" x14ac:dyDescent="0.25">
      <c r="I2466" s="86">
        <v>2465</v>
      </c>
      <c r="J2466" s="87">
        <v>1.2092638912419869</v>
      </c>
      <c r="K2466" s="87">
        <v>6.8370663653061552</v>
      </c>
    </row>
    <row r="2467" spans="9:11" x14ac:dyDescent="0.25">
      <c r="I2467" s="86">
        <v>2466</v>
      </c>
      <c r="J2467" s="87">
        <v>4.3789332755678956</v>
      </c>
      <c r="K2467" s="87">
        <v>10.46718593072014</v>
      </c>
    </row>
    <row r="2468" spans="9:11" x14ac:dyDescent="0.25">
      <c r="I2468" s="86">
        <v>2467</v>
      </c>
      <c r="J2468" s="87">
        <v>-0.87076285983640256</v>
      </c>
      <c r="K2468" s="87">
        <v>4.580232989472063</v>
      </c>
    </row>
    <row r="2469" spans="9:11" x14ac:dyDescent="0.25">
      <c r="I2469" s="86">
        <v>2468</v>
      </c>
      <c r="J2469" s="87">
        <v>1.3518527528371838</v>
      </c>
      <c r="K2469" s="87">
        <v>7.0802962491493968</v>
      </c>
    </row>
    <row r="2470" spans="9:11" x14ac:dyDescent="0.25">
      <c r="I2470" s="86">
        <v>2469</v>
      </c>
      <c r="J2470" s="87">
        <v>2.2266459909663663</v>
      </c>
      <c r="K2470" s="87">
        <v>8.1022120371126505</v>
      </c>
    </row>
    <row r="2471" spans="9:11" x14ac:dyDescent="0.25">
      <c r="I2471" s="86">
        <v>2470</v>
      </c>
      <c r="J2471" s="87">
        <v>1.2363583765303177</v>
      </c>
      <c r="K2471" s="87">
        <v>5.2228640776322415</v>
      </c>
    </row>
    <row r="2472" spans="9:11" x14ac:dyDescent="0.25">
      <c r="I2472" s="86">
        <v>2471</v>
      </c>
      <c r="J2472" s="87">
        <v>2.3895365869424916</v>
      </c>
      <c r="K2472" s="87">
        <v>6.7401782993271402</v>
      </c>
    </row>
    <row r="2473" spans="9:11" x14ac:dyDescent="0.25">
      <c r="I2473" s="86">
        <v>2472</v>
      </c>
      <c r="J2473" s="87">
        <v>1.0328724217675775</v>
      </c>
      <c r="K2473" s="87">
        <v>6.2801985924254291</v>
      </c>
    </row>
    <row r="2474" spans="9:11" x14ac:dyDescent="0.25">
      <c r="I2474" s="86">
        <v>2473</v>
      </c>
      <c r="J2474" s="87">
        <v>-0.28282416527906751</v>
      </c>
      <c r="K2474" s="87">
        <v>5.9353848920048051</v>
      </c>
    </row>
    <row r="2475" spans="9:11" x14ac:dyDescent="0.25">
      <c r="I2475" s="86">
        <v>2474</v>
      </c>
      <c r="J2475" s="87">
        <v>5.1049976395644059</v>
      </c>
      <c r="K2475" s="87">
        <v>11.573950864366447</v>
      </c>
    </row>
    <row r="2476" spans="9:11" x14ac:dyDescent="0.25">
      <c r="I2476" s="86">
        <v>2475</v>
      </c>
      <c r="J2476" s="87">
        <v>1.6366542432461904</v>
      </c>
      <c r="K2476" s="87">
        <v>7.5687592618931721</v>
      </c>
    </row>
    <row r="2477" spans="9:11" x14ac:dyDescent="0.25">
      <c r="I2477" s="86">
        <v>2476</v>
      </c>
      <c r="J2477" s="87">
        <v>-0.34427260840945451</v>
      </c>
      <c r="K2477" s="87">
        <v>5.3857813072004719</v>
      </c>
    </row>
    <row r="2478" spans="9:11" x14ac:dyDescent="0.25">
      <c r="I2478" s="86">
        <v>2477</v>
      </c>
      <c r="J2478" s="87">
        <v>1.4336536632318611</v>
      </c>
      <c r="K2478" s="87">
        <v>7.6394130329361927</v>
      </c>
    </row>
    <row r="2479" spans="9:11" x14ac:dyDescent="0.25">
      <c r="I2479" s="86">
        <v>2478</v>
      </c>
      <c r="J2479" s="87">
        <v>4.2106201278298023</v>
      </c>
      <c r="K2479" s="87">
        <v>8.549355705446759</v>
      </c>
    </row>
    <row r="2480" spans="9:11" x14ac:dyDescent="0.25">
      <c r="I2480" s="86">
        <v>2479</v>
      </c>
      <c r="J2480" s="87">
        <v>2.0562767393456056</v>
      </c>
      <c r="K2480" s="87">
        <v>9.1680344282422652</v>
      </c>
    </row>
    <row r="2481" spans="9:11" x14ac:dyDescent="0.25">
      <c r="I2481" s="86">
        <v>2480</v>
      </c>
      <c r="J2481" s="87">
        <v>-0.21025725987757049</v>
      </c>
      <c r="K2481" s="87">
        <v>5.1029794834590998</v>
      </c>
    </row>
    <row r="2482" spans="9:11" x14ac:dyDescent="0.25">
      <c r="I2482" s="86">
        <v>2481</v>
      </c>
      <c r="J2482" s="87">
        <v>2.4419262004790907</v>
      </c>
      <c r="K2482" s="87">
        <v>7.1975601696351994</v>
      </c>
    </row>
    <row r="2483" spans="9:11" x14ac:dyDescent="0.25">
      <c r="I2483" s="86">
        <v>2482</v>
      </c>
      <c r="J2483" s="87">
        <v>1.7863170693946655</v>
      </c>
      <c r="K2483" s="87">
        <v>7.9659883418080311</v>
      </c>
    </row>
    <row r="2484" spans="9:11" x14ac:dyDescent="0.25">
      <c r="I2484" s="86">
        <v>2483</v>
      </c>
      <c r="J2484" s="87">
        <v>5.3780500163195022E-2</v>
      </c>
      <c r="K2484" s="87">
        <v>6.5268262302428353</v>
      </c>
    </row>
    <row r="2485" spans="9:11" x14ac:dyDescent="0.25">
      <c r="I2485" s="86">
        <v>2484</v>
      </c>
      <c r="J2485" s="87">
        <v>-6.810077669092518E-2</v>
      </c>
      <c r="K2485" s="87">
        <v>5.1456619888246857</v>
      </c>
    </row>
    <row r="2486" spans="9:11" x14ac:dyDescent="0.25">
      <c r="I2486" s="86">
        <v>2485</v>
      </c>
      <c r="J2486" s="87">
        <v>1.7760347717814966</v>
      </c>
      <c r="K2486" s="87">
        <v>6.8904846442873318</v>
      </c>
    </row>
    <row r="2487" spans="9:11" x14ac:dyDescent="0.25">
      <c r="I2487" s="86">
        <v>2486</v>
      </c>
      <c r="J2487" s="87">
        <v>3.3362611497117634</v>
      </c>
      <c r="K2487" s="87">
        <v>7.9874501340203503</v>
      </c>
    </row>
    <row r="2488" spans="9:11" x14ac:dyDescent="0.25">
      <c r="I2488" s="86">
        <v>2487</v>
      </c>
      <c r="J2488" s="87">
        <v>4.8805913246366117</v>
      </c>
      <c r="K2488" s="87">
        <v>11.000765224608047</v>
      </c>
    </row>
    <row r="2489" spans="9:11" x14ac:dyDescent="0.25">
      <c r="I2489" s="86">
        <v>2488</v>
      </c>
      <c r="J2489" s="87">
        <v>3.18812249602093</v>
      </c>
      <c r="K2489" s="87">
        <v>6.8394027937019004</v>
      </c>
    </row>
    <row r="2490" spans="9:11" x14ac:dyDescent="0.25">
      <c r="I2490" s="86">
        <v>2489</v>
      </c>
      <c r="J2490" s="87">
        <v>2.3934352254206717</v>
      </c>
      <c r="K2490" s="87">
        <v>9.802436377692727</v>
      </c>
    </row>
    <row r="2491" spans="9:11" x14ac:dyDescent="0.25">
      <c r="I2491" s="86">
        <v>2490</v>
      </c>
      <c r="J2491" s="87">
        <v>1.5117185509442943</v>
      </c>
      <c r="K2491" s="87">
        <v>5.5364176612794633</v>
      </c>
    </row>
    <row r="2492" spans="9:11" x14ac:dyDescent="0.25">
      <c r="I2492" s="86">
        <v>2491</v>
      </c>
      <c r="J2492" s="87">
        <v>3.3067777115752888</v>
      </c>
      <c r="K2492" s="87">
        <v>8.0618648847638692</v>
      </c>
    </row>
    <row r="2493" spans="9:11" x14ac:dyDescent="0.25">
      <c r="I2493" s="86">
        <v>2492</v>
      </c>
      <c r="J2493" s="87">
        <v>-0.65241622292926849</v>
      </c>
      <c r="K2493" s="87">
        <v>6.6274316789151042</v>
      </c>
    </row>
    <row r="2494" spans="9:11" x14ac:dyDescent="0.25">
      <c r="I2494" s="86">
        <v>2493</v>
      </c>
      <c r="J2494" s="87">
        <v>3.1953399467495798</v>
      </c>
      <c r="K2494" s="87">
        <v>7.9439634018339609</v>
      </c>
    </row>
    <row r="2495" spans="9:11" x14ac:dyDescent="0.25">
      <c r="I2495" s="86">
        <v>2494</v>
      </c>
      <c r="J2495" s="87">
        <v>0.98223558856958482</v>
      </c>
      <c r="K2495" s="87">
        <v>5.450283810882917</v>
      </c>
    </row>
    <row r="2496" spans="9:11" x14ac:dyDescent="0.25">
      <c r="I2496" s="86">
        <v>2495</v>
      </c>
      <c r="J2496" s="87">
        <v>2.7534426159392309</v>
      </c>
      <c r="K2496" s="87">
        <v>6.1115718829588825</v>
      </c>
    </row>
    <row r="2497" spans="9:11" x14ac:dyDescent="0.25">
      <c r="I2497" s="86">
        <v>2496</v>
      </c>
      <c r="J2497" s="87">
        <v>0.72642885604218588</v>
      </c>
      <c r="K2497" s="87">
        <v>6.9710860760630249</v>
      </c>
    </row>
    <row r="2498" spans="9:11" x14ac:dyDescent="0.25">
      <c r="I2498" s="86">
        <v>2497</v>
      </c>
      <c r="J2498" s="87">
        <v>8.6451049989569206E-2</v>
      </c>
      <c r="K2498" s="87">
        <v>6.3122012046811671</v>
      </c>
    </row>
    <row r="2499" spans="9:11" x14ac:dyDescent="0.25">
      <c r="I2499" s="86">
        <v>2498</v>
      </c>
      <c r="J2499" s="87">
        <v>2.047625462727436</v>
      </c>
      <c r="K2499" s="87">
        <v>8.7397305841202169</v>
      </c>
    </row>
    <row r="2500" spans="9:11" x14ac:dyDescent="0.25">
      <c r="I2500" s="86">
        <v>2499</v>
      </c>
      <c r="J2500" s="87">
        <v>0.33001971048212386</v>
      </c>
      <c r="K2500" s="87">
        <v>5.8502103422321907</v>
      </c>
    </row>
    <row r="2501" spans="9:11" x14ac:dyDescent="0.25">
      <c r="I2501" s="86">
        <v>2500</v>
      </c>
      <c r="J2501" s="87">
        <v>1.5532492874532631</v>
      </c>
      <c r="K2501" s="87">
        <v>6.303717983164713</v>
      </c>
    </row>
    <row r="2502" spans="9:11" x14ac:dyDescent="0.25">
      <c r="I2502" s="86">
        <v>2501</v>
      </c>
      <c r="J2502" s="87">
        <v>-1.6621224828187868</v>
      </c>
      <c r="K2502" s="87">
        <v>5.1969420158844093</v>
      </c>
    </row>
    <row r="2503" spans="9:11" x14ac:dyDescent="0.25">
      <c r="I2503" s="86">
        <v>2502</v>
      </c>
      <c r="J2503" s="87">
        <v>1.3310649449583032</v>
      </c>
      <c r="K2503" s="87">
        <v>7.211276914515472</v>
      </c>
    </row>
    <row r="2504" spans="9:11" x14ac:dyDescent="0.25">
      <c r="I2504" s="86">
        <v>2503</v>
      </c>
      <c r="J2504" s="87">
        <v>2.716123713991986</v>
      </c>
      <c r="K2504" s="87">
        <v>7.2314148712097222</v>
      </c>
    </row>
    <row r="2505" spans="9:11" x14ac:dyDescent="0.25">
      <c r="I2505" s="86">
        <v>2504</v>
      </c>
      <c r="J2505" s="87">
        <v>1.4407047807967537</v>
      </c>
      <c r="K2505" s="87">
        <v>6.5609271941956431</v>
      </c>
    </row>
    <row r="2506" spans="9:11" x14ac:dyDescent="0.25">
      <c r="I2506" s="86">
        <v>2505</v>
      </c>
      <c r="J2506" s="87">
        <v>3.2655047916591888</v>
      </c>
      <c r="K2506" s="87">
        <v>6.6923771753528962</v>
      </c>
    </row>
    <row r="2507" spans="9:11" x14ac:dyDescent="0.25">
      <c r="I2507" s="86">
        <v>2506</v>
      </c>
      <c r="J2507" s="87">
        <v>7.5245862182294232E-2</v>
      </c>
      <c r="K2507" s="87">
        <v>6.6357053575761107</v>
      </c>
    </row>
    <row r="2508" spans="9:11" x14ac:dyDescent="0.25">
      <c r="I2508" s="86">
        <v>2507</v>
      </c>
      <c r="J2508" s="87">
        <v>0.27279676175089662</v>
      </c>
      <c r="K2508" s="87">
        <v>6.5421797453171333</v>
      </c>
    </row>
    <row r="2509" spans="9:11" x14ac:dyDescent="0.25">
      <c r="I2509" s="86">
        <v>2508</v>
      </c>
      <c r="J2509" s="87">
        <v>4.7306727182891972</v>
      </c>
      <c r="K2509" s="87">
        <v>10.782906260235169</v>
      </c>
    </row>
    <row r="2510" spans="9:11" x14ac:dyDescent="0.25">
      <c r="I2510" s="86">
        <v>2509</v>
      </c>
      <c r="J2510" s="87">
        <v>1.8490452986614105</v>
      </c>
      <c r="K2510" s="87">
        <v>7.7439040099352425</v>
      </c>
    </row>
    <row r="2511" spans="9:11" x14ac:dyDescent="0.25">
      <c r="I2511" s="86">
        <v>2510</v>
      </c>
      <c r="J2511" s="87">
        <v>-8.2776799239118404E-2</v>
      </c>
      <c r="K2511" s="87">
        <v>6.0844739024657102</v>
      </c>
    </row>
    <row r="2512" spans="9:11" x14ac:dyDescent="0.25">
      <c r="I2512" s="86">
        <v>2511</v>
      </c>
      <c r="J2512" s="87">
        <v>0.99991914760293232</v>
      </c>
      <c r="K2512" s="87">
        <v>5.4790753137049402</v>
      </c>
    </row>
    <row r="2513" spans="9:11" x14ac:dyDescent="0.25">
      <c r="I2513" s="86">
        <v>2512</v>
      </c>
      <c r="J2513" s="87">
        <v>1.2590968750092735</v>
      </c>
      <c r="K2513" s="87">
        <v>6.0635359953052372</v>
      </c>
    </row>
    <row r="2514" spans="9:11" x14ac:dyDescent="0.25">
      <c r="I2514" s="86">
        <v>2513</v>
      </c>
      <c r="J2514" s="87">
        <v>0.71078126359450433</v>
      </c>
      <c r="K2514" s="87">
        <v>7.4836320790786228</v>
      </c>
    </row>
    <row r="2515" spans="9:11" x14ac:dyDescent="0.25">
      <c r="I2515" s="86">
        <v>2514</v>
      </c>
      <c r="J2515" s="87">
        <v>1.809249274905357</v>
      </c>
      <c r="K2515" s="87">
        <v>5.3755222778488703</v>
      </c>
    </row>
    <row r="2516" spans="9:11" x14ac:dyDescent="0.25">
      <c r="I2516" s="86">
        <v>2515</v>
      </c>
      <c r="J2516" s="87">
        <v>0.21152509235671024</v>
      </c>
      <c r="K2516" s="87">
        <v>4.9341568726694032</v>
      </c>
    </row>
    <row r="2517" spans="9:11" x14ac:dyDescent="0.25">
      <c r="I2517" s="86">
        <v>2516</v>
      </c>
      <c r="J2517" s="87">
        <v>-0.3310984021475889</v>
      </c>
      <c r="K2517" s="87">
        <v>5.3512083215500414</v>
      </c>
    </row>
    <row r="2518" spans="9:11" x14ac:dyDescent="0.25">
      <c r="I2518" s="86">
        <v>2517</v>
      </c>
      <c r="J2518" s="87">
        <v>-0.69559236583179906</v>
      </c>
      <c r="K2518" s="87">
        <v>5.0259066880589618</v>
      </c>
    </row>
    <row r="2519" spans="9:11" x14ac:dyDescent="0.25">
      <c r="I2519" s="86">
        <v>2518</v>
      </c>
      <c r="J2519" s="87">
        <v>4.5114636743875289</v>
      </c>
      <c r="K2519" s="87">
        <v>8.939570794862135</v>
      </c>
    </row>
    <row r="2520" spans="9:11" x14ac:dyDescent="0.25">
      <c r="I2520" s="86">
        <v>2519</v>
      </c>
      <c r="J2520" s="87">
        <v>0.80992040892463679</v>
      </c>
      <c r="K2520" s="87">
        <v>5.55703868068451</v>
      </c>
    </row>
    <row r="2521" spans="9:11" x14ac:dyDescent="0.25">
      <c r="I2521" s="86">
        <v>2520</v>
      </c>
      <c r="J2521" s="87">
        <v>1.7903475790013959</v>
      </c>
      <c r="K2521" s="87">
        <v>7.5803358839673365</v>
      </c>
    </row>
    <row r="2522" spans="9:11" x14ac:dyDescent="0.25">
      <c r="I2522" s="86">
        <v>2521</v>
      </c>
      <c r="J2522" s="87">
        <v>1.620813344995045</v>
      </c>
      <c r="K2522" s="87">
        <v>5.974133363380882</v>
      </c>
    </row>
    <row r="2523" spans="9:11" x14ac:dyDescent="0.25">
      <c r="I2523" s="86">
        <v>2522</v>
      </c>
      <c r="J2523" s="87">
        <v>5.7061550417581373</v>
      </c>
      <c r="K2523" s="87">
        <v>9.9306243985107905</v>
      </c>
    </row>
    <row r="2524" spans="9:11" x14ac:dyDescent="0.25">
      <c r="I2524" s="86">
        <v>2523</v>
      </c>
      <c r="J2524" s="87">
        <v>2.5233348835498841</v>
      </c>
      <c r="K2524" s="87">
        <v>6.5148892849105833</v>
      </c>
    </row>
    <row r="2525" spans="9:11" x14ac:dyDescent="0.25">
      <c r="I2525" s="86">
        <v>2524</v>
      </c>
      <c r="J2525" s="87">
        <v>2.6333799039367598</v>
      </c>
      <c r="K2525" s="87">
        <v>6.1240610485069764</v>
      </c>
    </row>
    <row r="2526" spans="9:11" x14ac:dyDescent="0.25">
      <c r="I2526" s="86">
        <v>2525</v>
      </c>
      <c r="J2526" s="87">
        <v>0.80876218066315708</v>
      </c>
      <c r="K2526" s="87">
        <v>7.9106446499804397</v>
      </c>
    </row>
    <row r="2527" spans="9:11" x14ac:dyDescent="0.25">
      <c r="I2527" s="86">
        <v>2526</v>
      </c>
      <c r="J2527" s="87">
        <v>0.17033147128250281</v>
      </c>
      <c r="K2527" s="87">
        <v>4.4578733678125904</v>
      </c>
    </row>
    <row r="2528" spans="9:11" x14ac:dyDescent="0.25">
      <c r="I2528" s="86">
        <v>2527</v>
      </c>
      <c r="J2528" s="87">
        <v>2.6200528986102185</v>
      </c>
      <c r="K2528" s="87">
        <v>6.2208704122305152</v>
      </c>
    </row>
    <row r="2529" spans="9:11" x14ac:dyDescent="0.25">
      <c r="I2529" s="86">
        <v>2528</v>
      </c>
      <c r="J2529" s="87">
        <v>1.8826162200067227</v>
      </c>
      <c r="K2529" s="87">
        <v>8.373282100883829</v>
      </c>
    </row>
    <row r="2530" spans="9:11" x14ac:dyDescent="0.25">
      <c r="I2530" s="86">
        <v>2529</v>
      </c>
      <c r="J2530" s="87">
        <v>5.9047061492016208</v>
      </c>
      <c r="K2530" s="87">
        <v>9.3150089490322348</v>
      </c>
    </row>
    <row r="2531" spans="9:11" x14ac:dyDescent="0.25">
      <c r="I2531" s="86">
        <v>2530</v>
      </c>
      <c r="J2531" s="87">
        <v>1.5401803274033146</v>
      </c>
      <c r="K2531" s="87">
        <v>6.6718061386489893</v>
      </c>
    </row>
    <row r="2532" spans="9:11" x14ac:dyDescent="0.25">
      <c r="I2532" s="86">
        <v>2531</v>
      </c>
      <c r="J2532" s="87">
        <v>0.83914547081524482</v>
      </c>
      <c r="K2532" s="87">
        <v>7.737886385053149</v>
      </c>
    </row>
    <row r="2533" spans="9:11" x14ac:dyDescent="0.25">
      <c r="I2533" s="86">
        <v>2532</v>
      </c>
      <c r="J2533" s="87">
        <v>1.2640040449848993</v>
      </c>
      <c r="K2533" s="87">
        <v>6.4802217611941524</v>
      </c>
    </row>
    <row r="2534" spans="9:11" x14ac:dyDescent="0.25">
      <c r="I2534" s="86">
        <v>2533</v>
      </c>
      <c r="J2534" s="87">
        <v>3.8938953656947435</v>
      </c>
      <c r="K2534" s="87">
        <v>8.5535341750438612</v>
      </c>
    </row>
    <row r="2535" spans="9:11" x14ac:dyDescent="0.25">
      <c r="I2535" s="86">
        <v>2534</v>
      </c>
      <c r="J2535" s="87">
        <v>1.7189125992453107</v>
      </c>
      <c r="K2535" s="87">
        <v>6.2744532047208619</v>
      </c>
    </row>
    <row r="2536" spans="9:11" x14ac:dyDescent="0.25">
      <c r="I2536" s="86">
        <v>2535</v>
      </c>
      <c r="J2536" s="87">
        <v>-0.51687200350428242</v>
      </c>
      <c r="K2536" s="87">
        <v>7.0996168299431313</v>
      </c>
    </row>
    <row r="2537" spans="9:11" x14ac:dyDescent="0.25">
      <c r="I2537" s="86">
        <v>2536</v>
      </c>
      <c r="J2537" s="87">
        <v>-0.74989979796669459</v>
      </c>
      <c r="K2537" s="87">
        <v>5.2293681987618754</v>
      </c>
    </row>
    <row r="2538" spans="9:11" x14ac:dyDescent="0.25">
      <c r="I2538" s="86">
        <v>2537</v>
      </c>
      <c r="J2538" s="87">
        <v>6.0144733031490372E-2</v>
      </c>
      <c r="K2538" s="87">
        <v>4.6429516373534039</v>
      </c>
    </row>
    <row r="2539" spans="9:11" x14ac:dyDescent="0.25">
      <c r="I2539" s="86">
        <v>2538</v>
      </c>
      <c r="J2539" s="87">
        <v>0.4713891985017904</v>
      </c>
      <c r="K2539" s="87">
        <v>5.6862170594693753</v>
      </c>
    </row>
    <row r="2540" spans="9:11" x14ac:dyDescent="0.25">
      <c r="I2540" s="86">
        <v>2539</v>
      </c>
      <c r="J2540" s="87">
        <v>5.3107546811914323</v>
      </c>
      <c r="K2540" s="87">
        <v>8.5004924947576832</v>
      </c>
    </row>
    <row r="2541" spans="9:11" x14ac:dyDescent="0.25">
      <c r="I2541" s="86">
        <v>2540</v>
      </c>
      <c r="J2541" s="87">
        <v>0.20268092849050223</v>
      </c>
      <c r="K2541" s="87">
        <v>6.1465319923433288</v>
      </c>
    </row>
    <row r="2542" spans="9:11" x14ac:dyDescent="0.25">
      <c r="I2542" s="86">
        <v>2541</v>
      </c>
      <c r="J2542" s="87">
        <v>-0.70762377362444084</v>
      </c>
      <c r="K2542" s="87">
        <v>5.2991837992438784</v>
      </c>
    </row>
    <row r="2543" spans="9:11" x14ac:dyDescent="0.25">
      <c r="I2543" s="86">
        <v>2542</v>
      </c>
      <c r="J2543" s="87">
        <v>1.9516849057164496</v>
      </c>
      <c r="K2543" s="87">
        <v>7.6892803770248239</v>
      </c>
    </row>
    <row r="2544" spans="9:11" x14ac:dyDescent="0.25">
      <c r="I2544" s="86">
        <v>2543</v>
      </c>
      <c r="J2544" s="87">
        <v>-1.2457590716183189</v>
      </c>
      <c r="K2544" s="87">
        <v>6.1899731269170761</v>
      </c>
    </row>
    <row r="2545" spans="9:11" x14ac:dyDescent="0.25">
      <c r="I2545" s="86">
        <v>2544</v>
      </c>
      <c r="J2545" s="87">
        <v>1.6410673739591601</v>
      </c>
      <c r="K2545" s="87">
        <v>5.9782352240435017</v>
      </c>
    </row>
    <row r="2546" spans="9:11" x14ac:dyDescent="0.25">
      <c r="I2546" s="86">
        <v>2545</v>
      </c>
      <c r="J2546" s="87">
        <v>9.1576504030389074</v>
      </c>
      <c r="K2546" s="87">
        <v>11.98622572586174</v>
      </c>
    </row>
    <row r="2547" spans="9:11" x14ac:dyDescent="0.25">
      <c r="I2547" s="86">
        <v>2546</v>
      </c>
      <c r="J2547" s="87">
        <v>2.7840055162326696</v>
      </c>
      <c r="K2547" s="87">
        <v>9.258634820588675</v>
      </c>
    </row>
    <row r="2548" spans="9:11" x14ac:dyDescent="0.25">
      <c r="I2548" s="86">
        <v>2547</v>
      </c>
      <c r="J2548" s="87">
        <v>1.9873820736702683</v>
      </c>
      <c r="K2548" s="87">
        <v>7.7176683963285395</v>
      </c>
    </row>
    <row r="2549" spans="9:11" x14ac:dyDescent="0.25">
      <c r="I2549" s="86">
        <v>2548</v>
      </c>
      <c r="J2549" s="87">
        <v>-0.49243917930332515</v>
      </c>
      <c r="K2549" s="87">
        <v>7.0264318106396235</v>
      </c>
    </row>
    <row r="2550" spans="9:11" x14ac:dyDescent="0.25">
      <c r="I2550" s="86">
        <v>2549</v>
      </c>
      <c r="J2550" s="87">
        <v>7.7473313143327083</v>
      </c>
      <c r="K2550" s="87">
        <v>9.9120949376300036</v>
      </c>
    </row>
    <row r="2551" spans="9:11" x14ac:dyDescent="0.25">
      <c r="I2551" s="86">
        <v>2550</v>
      </c>
      <c r="J2551" s="87">
        <v>3.7649367554147695</v>
      </c>
      <c r="K2551" s="87">
        <v>8.223681847906418</v>
      </c>
    </row>
    <row r="2552" spans="9:11" x14ac:dyDescent="0.25">
      <c r="I2552" s="86">
        <v>2551</v>
      </c>
      <c r="J2552" s="87">
        <v>4.3107963533247906</v>
      </c>
      <c r="K2552" s="87">
        <v>7.2264087101089629</v>
      </c>
    </row>
    <row r="2553" spans="9:11" x14ac:dyDescent="0.25">
      <c r="I2553" s="86">
        <v>2552</v>
      </c>
      <c r="J2553" s="87">
        <v>5.3613448742656402</v>
      </c>
      <c r="K2553" s="87">
        <v>7.9973556003737842</v>
      </c>
    </row>
    <row r="2554" spans="9:11" x14ac:dyDescent="0.25">
      <c r="I2554" s="86">
        <v>2553</v>
      </c>
      <c r="J2554" s="87">
        <v>-0.50450582207595218</v>
      </c>
      <c r="K2554" s="87">
        <v>5.4930546743687652</v>
      </c>
    </row>
    <row r="2555" spans="9:11" x14ac:dyDescent="0.25">
      <c r="I2555" s="86">
        <v>2554</v>
      </c>
      <c r="J2555" s="87">
        <v>0.89070327785414483</v>
      </c>
      <c r="K2555" s="87">
        <v>5.243556571587213</v>
      </c>
    </row>
    <row r="2556" spans="9:11" x14ac:dyDescent="0.25">
      <c r="I2556" s="86">
        <v>2555</v>
      </c>
      <c r="J2556" s="87">
        <v>0.76984504441554247</v>
      </c>
      <c r="K2556" s="87">
        <v>7.9145630569215761</v>
      </c>
    </row>
    <row r="2557" spans="9:11" x14ac:dyDescent="0.25">
      <c r="I2557" s="86">
        <v>2556</v>
      </c>
      <c r="J2557" s="87">
        <v>0.66191199091504638</v>
      </c>
      <c r="K2557" s="87">
        <v>5.6058203216565277</v>
      </c>
    </row>
    <row r="2558" spans="9:11" x14ac:dyDescent="0.25">
      <c r="I2558" s="86">
        <v>2557</v>
      </c>
      <c r="J2558" s="87">
        <v>1.3928071554835322</v>
      </c>
      <c r="K2558" s="87">
        <v>7.2165969137861863</v>
      </c>
    </row>
    <row r="2559" spans="9:11" x14ac:dyDescent="0.25">
      <c r="I2559" s="86">
        <v>2558</v>
      </c>
      <c r="J2559" s="87">
        <v>-1.0256364756345571</v>
      </c>
      <c r="K2559" s="87">
        <v>4.3310104784486922</v>
      </c>
    </row>
    <row r="2560" spans="9:11" x14ac:dyDescent="0.25">
      <c r="I2560" s="86">
        <v>2559</v>
      </c>
      <c r="J2560" s="87">
        <v>1.9556651205973283</v>
      </c>
      <c r="K2560" s="87">
        <v>8.8370040826506298</v>
      </c>
    </row>
    <row r="2561" spans="9:11" x14ac:dyDescent="0.25">
      <c r="I2561" s="86">
        <v>2560</v>
      </c>
      <c r="J2561" s="87">
        <v>2.9228968604570484</v>
      </c>
      <c r="K2561" s="87">
        <v>8.1195768212785993</v>
      </c>
    </row>
    <row r="2562" spans="9:11" x14ac:dyDescent="0.25">
      <c r="I2562" s="86">
        <v>2561</v>
      </c>
      <c r="J2562" s="87">
        <v>-1.9092250354282192</v>
      </c>
      <c r="K2562" s="87">
        <v>4.3021685244890655</v>
      </c>
    </row>
    <row r="2563" spans="9:11" x14ac:dyDescent="0.25">
      <c r="I2563" s="86">
        <v>2562</v>
      </c>
      <c r="J2563" s="87">
        <v>3.2506109338223119</v>
      </c>
      <c r="K2563" s="87">
        <v>8.0384963882944636</v>
      </c>
    </row>
    <row r="2564" spans="9:11" x14ac:dyDescent="0.25">
      <c r="I2564" s="86">
        <v>2563</v>
      </c>
      <c r="J2564" s="87">
        <v>1.7629031622175821</v>
      </c>
      <c r="K2564" s="87">
        <v>7.2499866440864338</v>
      </c>
    </row>
    <row r="2565" spans="9:11" x14ac:dyDescent="0.25">
      <c r="I2565" s="86">
        <v>2564</v>
      </c>
      <c r="J2565" s="87">
        <v>2.3959436632318951</v>
      </c>
      <c r="K2565" s="87">
        <v>9.0743034719889692</v>
      </c>
    </row>
    <row r="2566" spans="9:11" x14ac:dyDescent="0.25">
      <c r="I2566" s="86">
        <v>2565</v>
      </c>
      <c r="J2566" s="87">
        <v>1.9462995484040908</v>
      </c>
      <c r="K2566" s="87">
        <v>7.827322189064513</v>
      </c>
    </row>
    <row r="2567" spans="9:11" x14ac:dyDescent="0.25">
      <c r="I2567" s="86">
        <v>2566</v>
      </c>
      <c r="J2567" s="87">
        <v>2.4294161830311181</v>
      </c>
      <c r="K2567" s="87">
        <v>8.2181154564248331</v>
      </c>
    </row>
    <row r="2568" spans="9:11" x14ac:dyDescent="0.25">
      <c r="I2568" s="86">
        <v>2567</v>
      </c>
      <c r="J2568" s="87">
        <v>1.9628133583780514</v>
      </c>
      <c r="K2568" s="87">
        <v>6.3424159379617677</v>
      </c>
    </row>
    <row r="2569" spans="9:11" x14ac:dyDescent="0.25">
      <c r="I2569" s="86">
        <v>2568</v>
      </c>
      <c r="J2569" s="87">
        <v>1.9102688691006522</v>
      </c>
      <c r="K2569" s="87">
        <v>7.4831314507936524</v>
      </c>
    </row>
    <row r="2570" spans="9:11" x14ac:dyDescent="0.25">
      <c r="I2570" s="86">
        <v>2569</v>
      </c>
      <c r="J2570" s="87">
        <v>1.3892033084533462</v>
      </c>
      <c r="K2570" s="87">
        <v>6.1533885613573576</v>
      </c>
    </row>
    <row r="2571" spans="9:11" x14ac:dyDescent="0.25">
      <c r="I2571" s="86">
        <v>2570</v>
      </c>
      <c r="J2571" s="87">
        <v>2.8574359843083759</v>
      </c>
      <c r="K2571" s="87">
        <v>8.107707219778499</v>
      </c>
    </row>
    <row r="2572" spans="9:11" x14ac:dyDescent="0.25">
      <c r="I2572" s="86">
        <v>2571</v>
      </c>
      <c r="J2572" s="87">
        <v>1.8402144598269672</v>
      </c>
      <c r="K2572" s="87">
        <v>5.692353786035401</v>
      </c>
    </row>
    <row r="2573" spans="9:11" x14ac:dyDescent="0.25">
      <c r="I2573" s="86">
        <v>2572</v>
      </c>
      <c r="J2573" s="87">
        <v>-0.64458757479184126</v>
      </c>
      <c r="K2573" s="87">
        <v>4.4292793454490242</v>
      </c>
    </row>
    <row r="2574" spans="9:11" x14ac:dyDescent="0.25">
      <c r="I2574" s="86">
        <v>2573</v>
      </c>
      <c r="J2574" s="87">
        <v>0.73962546818204977</v>
      </c>
      <c r="K2574" s="87">
        <v>7.9810964863316256</v>
      </c>
    </row>
    <row r="2575" spans="9:11" x14ac:dyDescent="0.25">
      <c r="I2575" s="86">
        <v>2574</v>
      </c>
      <c r="J2575" s="87">
        <v>1.5148053278929572</v>
      </c>
      <c r="K2575" s="87">
        <v>5.6980863814673386</v>
      </c>
    </row>
    <row r="2576" spans="9:11" x14ac:dyDescent="0.25">
      <c r="I2576" s="86">
        <v>2575</v>
      </c>
      <c r="J2576" s="87">
        <v>0.71883847294303216</v>
      </c>
      <c r="K2576" s="87">
        <v>5.9749532558679226</v>
      </c>
    </row>
    <row r="2577" spans="9:11" x14ac:dyDescent="0.25">
      <c r="I2577" s="86">
        <v>2576</v>
      </c>
      <c r="J2577" s="87">
        <v>-0.55396361134111372</v>
      </c>
      <c r="K2577" s="87">
        <v>4.2829308563411219</v>
      </c>
    </row>
    <row r="2578" spans="9:11" x14ac:dyDescent="0.25">
      <c r="I2578" s="86">
        <v>2577</v>
      </c>
      <c r="J2578" s="87">
        <v>1.1606974687542682E-2</v>
      </c>
      <c r="K2578" s="87">
        <v>5.114937366847685</v>
      </c>
    </row>
    <row r="2579" spans="9:11" x14ac:dyDescent="0.25">
      <c r="I2579" s="86">
        <v>2578</v>
      </c>
      <c r="J2579" s="87">
        <v>2.3371321660055235</v>
      </c>
      <c r="K2579" s="87">
        <v>8.3739740092493626</v>
      </c>
    </row>
    <row r="2580" spans="9:11" x14ac:dyDescent="0.25">
      <c r="I2580" s="86">
        <v>2579</v>
      </c>
      <c r="J2580" s="87">
        <v>5.4963500063860966</v>
      </c>
      <c r="K2580" s="87">
        <v>9.4913127212653698</v>
      </c>
    </row>
    <row r="2581" spans="9:11" x14ac:dyDescent="0.25">
      <c r="I2581" s="86">
        <v>2580</v>
      </c>
      <c r="J2581" s="87">
        <v>6.2940253085285178</v>
      </c>
      <c r="K2581" s="87">
        <v>6.6242263220189495</v>
      </c>
    </row>
    <row r="2582" spans="9:11" x14ac:dyDescent="0.25">
      <c r="I2582" s="86">
        <v>2581</v>
      </c>
      <c r="J2582" s="87">
        <v>1.5661415348936911</v>
      </c>
      <c r="K2582" s="87">
        <v>6.1960497345061576</v>
      </c>
    </row>
    <row r="2583" spans="9:11" x14ac:dyDescent="0.25">
      <c r="I2583" s="86">
        <v>2582</v>
      </c>
      <c r="J2583" s="87">
        <v>-0.49036022999000739</v>
      </c>
      <c r="K2583" s="87">
        <v>6.575202737308679</v>
      </c>
    </row>
    <row r="2584" spans="9:11" x14ac:dyDescent="0.25">
      <c r="I2584" s="86">
        <v>2583</v>
      </c>
      <c r="J2584" s="87">
        <v>1.6135718403394281</v>
      </c>
      <c r="K2584" s="87">
        <v>5.8173348676577374</v>
      </c>
    </row>
    <row r="2585" spans="9:11" x14ac:dyDescent="0.25">
      <c r="I2585" s="86">
        <v>2584</v>
      </c>
      <c r="J2585" s="87">
        <v>0.80181690857109089</v>
      </c>
      <c r="K2585" s="87">
        <v>5.7020102377991861</v>
      </c>
    </row>
    <row r="2586" spans="9:11" x14ac:dyDescent="0.25">
      <c r="I2586" s="86">
        <v>2585</v>
      </c>
      <c r="J2586" s="87">
        <v>2.478074206755621</v>
      </c>
      <c r="K2586" s="87">
        <v>8.0599266891248558</v>
      </c>
    </row>
    <row r="2587" spans="9:11" x14ac:dyDescent="0.25">
      <c r="I2587" s="86">
        <v>2586</v>
      </c>
      <c r="J2587" s="87">
        <v>0.898103268690571</v>
      </c>
      <c r="K2587" s="87">
        <v>7.396858534301872</v>
      </c>
    </row>
    <row r="2588" spans="9:11" x14ac:dyDescent="0.25">
      <c r="I2588" s="86">
        <v>2587</v>
      </c>
      <c r="J2588" s="87">
        <v>2.43298073780542</v>
      </c>
      <c r="K2588" s="87">
        <v>8.4340929342199029</v>
      </c>
    </row>
    <row r="2589" spans="9:11" x14ac:dyDescent="0.25">
      <c r="I2589" s="86">
        <v>2588</v>
      </c>
      <c r="J2589" s="87">
        <v>2.2877139285795485</v>
      </c>
      <c r="K2589" s="87">
        <v>6.5054910419600214</v>
      </c>
    </row>
    <row r="2590" spans="9:11" x14ac:dyDescent="0.25">
      <c r="I2590" s="86">
        <v>2589</v>
      </c>
      <c r="J2590" s="87">
        <v>1.8396292448625138</v>
      </c>
      <c r="K2590" s="87">
        <v>6.3700237732863974</v>
      </c>
    </row>
    <row r="2591" spans="9:11" x14ac:dyDescent="0.25">
      <c r="I2591" s="86">
        <v>2590</v>
      </c>
      <c r="J2591" s="87">
        <v>-1.7559672593518982E-2</v>
      </c>
      <c r="K2591" s="87">
        <v>4.9118744545532262</v>
      </c>
    </row>
    <row r="2592" spans="9:11" x14ac:dyDescent="0.25">
      <c r="I2592" s="86">
        <v>2591</v>
      </c>
      <c r="J2592" s="87">
        <v>-1.5964232587448111</v>
      </c>
      <c r="K2592" s="87">
        <v>5.0941001581457783</v>
      </c>
    </row>
    <row r="2593" spans="9:11" x14ac:dyDescent="0.25">
      <c r="I2593" s="86">
        <v>2592</v>
      </c>
      <c r="J2593" s="87">
        <v>0.7518171940572751</v>
      </c>
      <c r="K2593" s="87">
        <v>6.2099157141144801</v>
      </c>
    </row>
    <row r="2594" spans="9:11" x14ac:dyDescent="0.25">
      <c r="I2594" s="86">
        <v>2593</v>
      </c>
      <c r="J2594" s="87">
        <v>1.5782488546239377</v>
      </c>
      <c r="K2594" s="87">
        <v>5.1537422626484961</v>
      </c>
    </row>
    <row r="2595" spans="9:11" x14ac:dyDescent="0.25">
      <c r="I2595" s="86">
        <v>2594</v>
      </c>
      <c r="J2595" s="87">
        <v>0.87313748121702428</v>
      </c>
      <c r="K2595" s="87">
        <v>5.1056531126955331</v>
      </c>
    </row>
    <row r="2596" spans="9:11" x14ac:dyDescent="0.25">
      <c r="I2596" s="86">
        <v>2595</v>
      </c>
      <c r="J2596" s="87">
        <v>1.5762204537513975</v>
      </c>
      <c r="K2596" s="87">
        <v>6.2193951627480448</v>
      </c>
    </row>
    <row r="2597" spans="9:11" x14ac:dyDescent="0.25">
      <c r="I2597" s="86">
        <v>2596</v>
      </c>
      <c r="J2597" s="87">
        <v>3.4392165066534677</v>
      </c>
      <c r="K2597" s="87">
        <v>11.390198863644438</v>
      </c>
    </row>
    <row r="2598" spans="9:11" x14ac:dyDescent="0.25">
      <c r="I2598" s="86">
        <v>2597</v>
      </c>
      <c r="J2598" s="87">
        <v>-0.57894044699090674</v>
      </c>
      <c r="K2598" s="87">
        <v>5.4910845577740481</v>
      </c>
    </row>
    <row r="2599" spans="9:11" x14ac:dyDescent="0.25">
      <c r="I2599" s="86">
        <v>2598</v>
      </c>
      <c r="J2599" s="87">
        <v>1.8012037682161255</v>
      </c>
      <c r="K2599" s="87">
        <v>6.6954639449269813</v>
      </c>
    </row>
    <row r="2600" spans="9:11" x14ac:dyDescent="0.25">
      <c r="I2600" s="86">
        <v>2599</v>
      </c>
      <c r="J2600" s="87">
        <v>1.1165851921433116</v>
      </c>
      <c r="K2600" s="87">
        <v>7.00393192218419</v>
      </c>
    </row>
    <row r="2601" spans="9:11" x14ac:dyDescent="0.25">
      <c r="I2601" s="86">
        <v>2600</v>
      </c>
      <c r="J2601" s="87">
        <v>4.4294878121633054</v>
      </c>
      <c r="K2601" s="87">
        <v>6.1213751824916391</v>
      </c>
    </row>
    <row r="2602" spans="9:11" x14ac:dyDescent="0.25">
      <c r="I2602" s="86">
        <v>2601</v>
      </c>
      <c r="J2602" s="87">
        <v>2.6766784509522292</v>
      </c>
      <c r="K2602" s="87">
        <v>7.8326793823800731</v>
      </c>
    </row>
    <row r="2603" spans="9:11" x14ac:dyDescent="0.25">
      <c r="I2603" s="86">
        <v>2602</v>
      </c>
      <c r="J2603" s="87">
        <v>-0.14352725447550174</v>
      </c>
      <c r="K2603" s="87">
        <v>5.5834858520597175</v>
      </c>
    </row>
    <row r="2604" spans="9:11" x14ac:dyDescent="0.25">
      <c r="I2604" s="86">
        <v>2603</v>
      </c>
      <c r="J2604" s="87">
        <v>3.0571907369865174</v>
      </c>
      <c r="K2604" s="87">
        <v>9.4784001818267889</v>
      </c>
    </row>
    <row r="2605" spans="9:11" x14ac:dyDescent="0.25">
      <c r="I2605" s="86">
        <v>2604</v>
      </c>
      <c r="J2605" s="87">
        <v>1.8247768057456417</v>
      </c>
      <c r="K2605" s="87">
        <v>7.8983504029332243</v>
      </c>
    </row>
    <row r="2606" spans="9:11" x14ac:dyDescent="0.25">
      <c r="I2606" s="86">
        <v>2605</v>
      </c>
      <c r="J2606" s="87">
        <v>-0.14565691125335967</v>
      </c>
      <c r="K2606" s="87">
        <v>4.8772688687529593</v>
      </c>
    </row>
    <row r="2607" spans="9:11" x14ac:dyDescent="0.25">
      <c r="I2607" s="86">
        <v>2606</v>
      </c>
      <c r="J2607" s="87">
        <v>5.5019761912683212</v>
      </c>
      <c r="K2607" s="87">
        <v>10.179318112277993</v>
      </c>
    </row>
    <row r="2608" spans="9:11" x14ac:dyDescent="0.25">
      <c r="I2608" s="86">
        <v>2607</v>
      </c>
      <c r="J2608" s="87">
        <v>2.6828695243249943</v>
      </c>
      <c r="K2608" s="87">
        <v>9.7460299313894438</v>
      </c>
    </row>
    <row r="2609" spans="9:11" x14ac:dyDescent="0.25">
      <c r="I2609" s="86">
        <v>2608</v>
      </c>
      <c r="J2609" s="87">
        <v>5.1455118121385555</v>
      </c>
      <c r="K2609" s="87">
        <v>8.9340685052164677</v>
      </c>
    </row>
    <row r="2610" spans="9:11" x14ac:dyDescent="0.25">
      <c r="I2610" s="86">
        <v>2609</v>
      </c>
      <c r="J2610" s="87">
        <v>-1.1475374532563114</v>
      </c>
      <c r="K2610" s="87">
        <v>4.8420211534053648</v>
      </c>
    </row>
    <row r="2611" spans="9:11" x14ac:dyDescent="0.25">
      <c r="I2611" s="86">
        <v>2610</v>
      </c>
      <c r="J2611" s="87">
        <v>3.5792139862774288</v>
      </c>
      <c r="K2611" s="87">
        <v>12.141020101529916</v>
      </c>
    </row>
    <row r="2612" spans="9:11" x14ac:dyDescent="0.25">
      <c r="I2612" s="86">
        <v>2611</v>
      </c>
      <c r="J2612" s="87">
        <v>-1.3288871534820847</v>
      </c>
      <c r="K2612" s="87">
        <v>5.5973735266103724</v>
      </c>
    </row>
    <row r="2613" spans="9:11" x14ac:dyDescent="0.25">
      <c r="I2613" s="86">
        <v>2612</v>
      </c>
      <c r="J2613" s="87">
        <v>0.75827281916205713</v>
      </c>
      <c r="K2613" s="87">
        <v>4.8019063138801599</v>
      </c>
    </row>
    <row r="2614" spans="9:11" x14ac:dyDescent="0.25">
      <c r="I2614" s="86">
        <v>2613</v>
      </c>
      <c r="J2614" s="87">
        <v>1.5889696448138562</v>
      </c>
      <c r="K2614" s="87">
        <v>6.4326287512124569</v>
      </c>
    </row>
    <row r="2615" spans="9:11" x14ac:dyDescent="0.25">
      <c r="I2615" s="86">
        <v>2614</v>
      </c>
      <c r="J2615" s="87">
        <v>19.573814198043713</v>
      </c>
      <c r="K2615" s="87">
        <v>17.423755722032226</v>
      </c>
    </row>
    <row r="2616" spans="9:11" x14ac:dyDescent="0.25">
      <c r="I2616" s="86">
        <v>2615</v>
      </c>
      <c r="J2616" s="87">
        <v>0.24017942551369753</v>
      </c>
      <c r="K2616" s="87">
        <v>5.5265430399980806</v>
      </c>
    </row>
    <row r="2617" spans="9:11" x14ac:dyDescent="0.25">
      <c r="I2617" s="86">
        <v>2616</v>
      </c>
      <c r="J2617" s="87">
        <v>-1.4210550936520274</v>
      </c>
      <c r="K2617" s="87">
        <v>5.1675261406032469</v>
      </c>
    </row>
    <row r="2618" spans="9:11" x14ac:dyDescent="0.25">
      <c r="I2618" s="86">
        <v>2617</v>
      </c>
      <c r="J2618" s="87">
        <v>-0.31148867631675259</v>
      </c>
      <c r="K2618" s="87">
        <v>5.7442979579137985</v>
      </c>
    </row>
    <row r="2619" spans="9:11" x14ac:dyDescent="0.25">
      <c r="I2619" s="86">
        <v>2618</v>
      </c>
      <c r="J2619" s="87">
        <v>-7.6740498253912826E-2</v>
      </c>
      <c r="K2619" s="87">
        <v>6.0799003449622058</v>
      </c>
    </row>
    <row r="2620" spans="9:11" x14ac:dyDescent="0.25">
      <c r="I2620" s="86">
        <v>2619</v>
      </c>
      <c r="J2620" s="87">
        <v>1.4470106450320612</v>
      </c>
      <c r="K2620" s="87">
        <v>6.7495922751877986</v>
      </c>
    </row>
    <row r="2621" spans="9:11" x14ac:dyDescent="0.25">
      <c r="I2621" s="86">
        <v>2620</v>
      </c>
      <c r="J2621" s="87">
        <v>2.7850598692479327</v>
      </c>
      <c r="K2621" s="87">
        <v>8.5010979515479814</v>
      </c>
    </row>
    <row r="2622" spans="9:11" x14ac:dyDescent="0.25">
      <c r="I2622" s="86">
        <v>2621</v>
      </c>
      <c r="J2622" s="87">
        <v>1.701978444780321</v>
      </c>
      <c r="K2622" s="87">
        <v>5.4664876807849856</v>
      </c>
    </row>
    <row r="2623" spans="9:11" x14ac:dyDescent="0.25">
      <c r="I2623" s="86">
        <v>2622</v>
      </c>
      <c r="J2623" s="87">
        <v>0.98052296388471705</v>
      </c>
      <c r="K2623" s="87">
        <v>5.1041569987709536</v>
      </c>
    </row>
    <row r="2624" spans="9:11" x14ac:dyDescent="0.25">
      <c r="I2624" s="86">
        <v>2623</v>
      </c>
      <c r="J2624" s="87">
        <v>3.2869361273495628</v>
      </c>
      <c r="K2624" s="87">
        <v>6.8896586895546221</v>
      </c>
    </row>
    <row r="2625" spans="9:11" x14ac:dyDescent="0.25">
      <c r="I2625" s="86">
        <v>2624</v>
      </c>
      <c r="J2625" s="87">
        <v>1.6884722444632851</v>
      </c>
      <c r="K2625" s="87">
        <v>6.158900238963656</v>
      </c>
    </row>
    <row r="2626" spans="9:11" x14ac:dyDescent="0.25">
      <c r="I2626" s="86">
        <v>2625</v>
      </c>
      <c r="J2626" s="87">
        <v>5.6797504702898713</v>
      </c>
      <c r="K2626" s="87">
        <v>8.7485003526598693</v>
      </c>
    </row>
    <row r="2627" spans="9:11" x14ac:dyDescent="0.25">
      <c r="I2627" s="86">
        <v>2626</v>
      </c>
      <c r="J2627" s="87">
        <v>1.0259140064262313</v>
      </c>
      <c r="K2627" s="87">
        <v>6.2697216025865785</v>
      </c>
    </row>
    <row r="2628" spans="9:11" x14ac:dyDescent="0.25">
      <c r="I2628" s="86">
        <v>2627</v>
      </c>
      <c r="J2628" s="87">
        <v>-1.0961137114440533</v>
      </c>
      <c r="K2628" s="87">
        <v>4.4041182374604162</v>
      </c>
    </row>
    <row r="2629" spans="9:11" x14ac:dyDescent="0.25">
      <c r="I2629" s="86">
        <v>2628</v>
      </c>
      <c r="J2629" s="87">
        <v>6.433767728673331</v>
      </c>
      <c r="K2629" s="87">
        <v>8.2214957602093737</v>
      </c>
    </row>
    <row r="2630" spans="9:11" x14ac:dyDescent="0.25">
      <c r="I2630" s="86">
        <v>2629</v>
      </c>
      <c r="J2630" s="87">
        <v>3.6315629780866132</v>
      </c>
      <c r="K2630" s="87">
        <v>6.9019794450467264</v>
      </c>
    </row>
    <row r="2631" spans="9:11" x14ac:dyDescent="0.25">
      <c r="I2631" s="86">
        <v>2630</v>
      </c>
      <c r="J2631" s="87">
        <v>0.31156594919247471</v>
      </c>
      <c r="K2631" s="87">
        <v>5.7520069903383249</v>
      </c>
    </row>
    <row r="2632" spans="9:11" x14ac:dyDescent="0.25">
      <c r="I2632" s="86">
        <v>2631</v>
      </c>
      <c r="J2632" s="87">
        <v>1.4931373003553059</v>
      </c>
      <c r="K2632" s="87">
        <v>6.858098015934539</v>
      </c>
    </row>
    <row r="2633" spans="9:11" x14ac:dyDescent="0.25">
      <c r="I2633" s="86">
        <v>2632</v>
      </c>
      <c r="J2633" s="87">
        <v>0.38524372366891591</v>
      </c>
      <c r="K2633" s="87">
        <v>5.8585184262388355</v>
      </c>
    </row>
    <row r="2634" spans="9:11" x14ac:dyDescent="0.25">
      <c r="I2634" s="86">
        <v>2633</v>
      </c>
      <c r="J2634" s="87">
        <v>2.7712319698212671</v>
      </c>
      <c r="K2634" s="87">
        <v>6.077548216299598</v>
      </c>
    </row>
    <row r="2635" spans="9:11" x14ac:dyDescent="0.25">
      <c r="I2635" s="86">
        <v>2634</v>
      </c>
      <c r="J2635" s="87">
        <v>2.0395840052886554</v>
      </c>
      <c r="K2635" s="87">
        <v>5.5534610188519649</v>
      </c>
    </row>
    <row r="2636" spans="9:11" x14ac:dyDescent="0.25">
      <c r="I2636" s="86">
        <v>2635</v>
      </c>
      <c r="J2636" s="87">
        <v>-0.29297091855029134</v>
      </c>
      <c r="K2636" s="87">
        <v>5.0880517622520962</v>
      </c>
    </row>
    <row r="2637" spans="9:11" x14ac:dyDescent="0.25">
      <c r="I2637" s="86">
        <v>2636</v>
      </c>
      <c r="J2637" s="87">
        <v>4.5317582116897031</v>
      </c>
      <c r="K2637" s="87">
        <v>7.0883516860563542</v>
      </c>
    </row>
    <row r="2638" spans="9:11" x14ac:dyDescent="0.25">
      <c r="I2638" s="86">
        <v>2637</v>
      </c>
      <c r="J2638" s="87">
        <v>-1.6184984116507568</v>
      </c>
      <c r="K2638" s="87">
        <v>4.2371101377012561</v>
      </c>
    </row>
    <row r="2639" spans="9:11" x14ac:dyDescent="0.25">
      <c r="I2639" s="86">
        <v>2638</v>
      </c>
      <c r="J2639" s="87">
        <v>1.8166725923892626</v>
      </c>
      <c r="K2639" s="87">
        <v>8.8040116208140216</v>
      </c>
    </row>
    <row r="2640" spans="9:11" x14ac:dyDescent="0.25">
      <c r="I2640" s="86">
        <v>2639</v>
      </c>
      <c r="J2640" s="87">
        <v>4.1462912178466347</v>
      </c>
      <c r="K2640" s="87">
        <v>7.914163200345528</v>
      </c>
    </row>
    <row r="2641" spans="9:11" x14ac:dyDescent="0.25">
      <c r="I2641" s="86">
        <v>2640</v>
      </c>
      <c r="J2641" s="87">
        <v>1.4268309742553225</v>
      </c>
      <c r="K2641" s="87">
        <v>5.0298628911112671</v>
      </c>
    </row>
    <row r="2642" spans="9:11" x14ac:dyDescent="0.25">
      <c r="I2642" s="86">
        <v>2641</v>
      </c>
      <c r="J2642" s="87">
        <v>2.4051450974961348</v>
      </c>
      <c r="K2642" s="87">
        <v>7.5085725543112112</v>
      </c>
    </row>
    <row r="2643" spans="9:11" x14ac:dyDescent="0.25">
      <c r="I2643" s="86">
        <v>2642</v>
      </c>
      <c r="J2643" s="87">
        <v>-1.2734846218579534</v>
      </c>
      <c r="K2643" s="87">
        <v>5.0074764662508233</v>
      </c>
    </row>
    <row r="2644" spans="9:11" x14ac:dyDescent="0.25">
      <c r="I2644" s="86">
        <v>2643</v>
      </c>
      <c r="J2644" s="87">
        <v>1.5141479207988313</v>
      </c>
      <c r="K2644" s="87">
        <v>10.127965434939135</v>
      </c>
    </row>
    <row r="2645" spans="9:11" x14ac:dyDescent="0.25">
      <c r="I2645" s="86">
        <v>2644</v>
      </c>
      <c r="J2645" s="87">
        <v>2.1879233617780658</v>
      </c>
      <c r="K2645" s="87">
        <v>7.4586722067409008</v>
      </c>
    </row>
    <row r="2646" spans="9:11" x14ac:dyDescent="0.25">
      <c r="I2646" s="86">
        <v>2645</v>
      </c>
      <c r="J2646" s="87">
        <v>6.2877642440633341</v>
      </c>
      <c r="K2646" s="87">
        <v>8.7574193056408447</v>
      </c>
    </row>
    <row r="2647" spans="9:11" x14ac:dyDescent="0.25">
      <c r="I2647" s="86">
        <v>2646</v>
      </c>
      <c r="J2647" s="87">
        <v>2.7512147023596887</v>
      </c>
      <c r="K2647" s="87">
        <v>7.8795046442485202</v>
      </c>
    </row>
    <row r="2648" spans="9:11" x14ac:dyDescent="0.25">
      <c r="I2648" s="86">
        <v>2647</v>
      </c>
      <c r="J2648" s="87">
        <v>0.95213957525443504</v>
      </c>
      <c r="K2648" s="87">
        <v>6.7896455338858894</v>
      </c>
    </row>
    <row r="2649" spans="9:11" x14ac:dyDescent="0.25">
      <c r="I2649" s="86">
        <v>2648</v>
      </c>
      <c r="J2649" s="87">
        <v>-0.36359154079434397</v>
      </c>
      <c r="K2649" s="87">
        <v>5.0248147350070633</v>
      </c>
    </row>
    <row r="2650" spans="9:11" x14ac:dyDescent="0.25">
      <c r="I2650" s="86">
        <v>2649</v>
      </c>
      <c r="J2650" s="87">
        <v>1.9437369860167033</v>
      </c>
      <c r="K2650" s="87">
        <v>6.7989296602801197</v>
      </c>
    </row>
    <row r="2651" spans="9:11" x14ac:dyDescent="0.25">
      <c r="I2651" s="86">
        <v>2650</v>
      </c>
      <c r="J2651" s="87">
        <v>0.58513974726679496</v>
      </c>
      <c r="K2651" s="87">
        <v>6.4958674166874708</v>
      </c>
    </row>
    <row r="2652" spans="9:11" x14ac:dyDescent="0.25">
      <c r="I2652" s="86">
        <v>2651</v>
      </c>
      <c r="J2652" s="87">
        <v>1.5547814274110499</v>
      </c>
      <c r="K2652" s="87">
        <v>8.1274243289360868</v>
      </c>
    </row>
    <row r="2653" spans="9:11" x14ac:dyDescent="0.25">
      <c r="I2653" s="86">
        <v>2652</v>
      </c>
      <c r="J2653" s="87">
        <v>0.67030127309560505</v>
      </c>
      <c r="K2653" s="87">
        <v>5.6145524598974905</v>
      </c>
    </row>
    <row r="2654" spans="9:11" x14ac:dyDescent="0.25">
      <c r="I2654" s="86">
        <v>2653</v>
      </c>
      <c r="J2654" s="87">
        <v>1.3148524583223766</v>
      </c>
      <c r="K2654" s="87">
        <v>7.3482582823648359</v>
      </c>
    </row>
    <row r="2655" spans="9:11" x14ac:dyDescent="0.25">
      <c r="I2655" s="86">
        <v>2654</v>
      </c>
      <c r="J2655" s="87">
        <v>1.4905977987488761</v>
      </c>
      <c r="K2655" s="87">
        <v>7.2504406026752353</v>
      </c>
    </row>
    <row r="2656" spans="9:11" x14ac:dyDescent="0.25">
      <c r="I2656" s="86">
        <v>2655</v>
      </c>
      <c r="J2656" s="87">
        <v>1.5314169123305423</v>
      </c>
      <c r="K2656" s="87">
        <v>5.7177172989461038</v>
      </c>
    </row>
    <row r="2657" spans="9:11" x14ac:dyDescent="0.25">
      <c r="I2657" s="86">
        <v>2656</v>
      </c>
      <c r="J2657" s="87">
        <v>2.2246233141545293</v>
      </c>
      <c r="K2657" s="87">
        <v>5.4248207204301124</v>
      </c>
    </row>
    <row r="2658" spans="9:11" x14ac:dyDescent="0.25">
      <c r="I2658" s="86">
        <v>2657</v>
      </c>
      <c r="J2658" s="87">
        <v>0.69765772091951561</v>
      </c>
      <c r="K2658" s="87">
        <v>6.5663791142961543</v>
      </c>
    </row>
    <row r="2659" spans="9:11" x14ac:dyDescent="0.25">
      <c r="I2659" s="86">
        <v>2658</v>
      </c>
      <c r="J2659" s="87">
        <v>2.955552657497126</v>
      </c>
      <c r="K2659" s="87">
        <v>7.5083283085883625</v>
      </c>
    </row>
    <row r="2660" spans="9:11" x14ac:dyDescent="0.25">
      <c r="I2660" s="86">
        <v>2659</v>
      </c>
      <c r="J2660" s="87">
        <v>0.48880529408210727</v>
      </c>
      <c r="K2660" s="87">
        <v>6.9845141701642497</v>
      </c>
    </row>
    <row r="2661" spans="9:11" x14ac:dyDescent="0.25">
      <c r="I2661" s="86">
        <v>2660</v>
      </c>
      <c r="J2661" s="87">
        <v>1.9217832171859532</v>
      </c>
      <c r="K2661" s="87">
        <v>8.0737405809521494</v>
      </c>
    </row>
    <row r="2662" spans="9:11" x14ac:dyDescent="0.25">
      <c r="I2662" s="86">
        <v>2661</v>
      </c>
      <c r="J2662" s="87">
        <v>3.2170609856125996</v>
      </c>
      <c r="K2662" s="87">
        <v>6.6139986279967147</v>
      </c>
    </row>
    <row r="2663" spans="9:11" x14ac:dyDescent="0.25">
      <c r="I2663" s="86">
        <v>2662</v>
      </c>
      <c r="J2663" s="87">
        <v>1.3057880541280467</v>
      </c>
      <c r="K2663" s="87">
        <v>6.3153572150673938</v>
      </c>
    </row>
    <row r="2664" spans="9:11" x14ac:dyDescent="0.25">
      <c r="I2664" s="86">
        <v>2663</v>
      </c>
      <c r="J2664" s="87">
        <v>1.3551020773790858</v>
      </c>
      <c r="K2664" s="87">
        <v>7.2516639211309188</v>
      </c>
    </row>
    <row r="2665" spans="9:11" x14ac:dyDescent="0.25">
      <c r="I2665" s="86">
        <v>2664</v>
      </c>
      <c r="J2665" s="87">
        <v>3.3501921469003122</v>
      </c>
      <c r="K2665" s="87">
        <v>9.4796234271052864</v>
      </c>
    </row>
    <row r="2666" spans="9:11" x14ac:dyDescent="0.25">
      <c r="I2666" s="86">
        <v>2665</v>
      </c>
      <c r="J2666" s="87">
        <v>2.9575896363979863</v>
      </c>
      <c r="K2666" s="87">
        <v>7.668078430742872</v>
      </c>
    </row>
    <row r="2667" spans="9:11" x14ac:dyDescent="0.25">
      <c r="I2667" s="86">
        <v>2666</v>
      </c>
      <c r="J2667" s="87">
        <v>6.3994302748915297</v>
      </c>
      <c r="K2667" s="87">
        <v>8.4383312534759067</v>
      </c>
    </row>
    <row r="2668" spans="9:11" x14ac:dyDescent="0.25">
      <c r="I2668" s="86">
        <v>2667</v>
      </c>
      <c r="J2668" s="87">
        <v>1.4506831547191403</v>
      </c>
      <c r="K2668" s="87">
        <v>6.7758417452494664</v>
      </c>
    </row>
    <row r="2669" spans="9:11" x14ac:dyDescent="0.25">
      <c r="I2669" s="86">
        <v>2668</v>
      </c>
      <c r="J2669" s="87">
        <v>4.3922627891313262</v>
      </c>
      <c r="K2669" s="87">
        <v>9.0034795470148623</v>
      </c>
    </row>
    <row r="2670" spans="9:11" x14ac:dyDescent="0.25">
      <c r="I2670" s="86">
        <v>2669</v>
      </c>
      <c r="J2670" s="87">
        <v>-8.6833813594347831E-2</v>
      </c>
      <c r="K2670" s="87">
        <v>5.112686213426918</v>
      </c>
    </row>
    <row r="2671" spans="9:11" x14ac:dyDescent="0.25">
      <c r="I2671" s="86">
        <v>2670</v>
      </c>
      <c r="J2671" s="87">
        <v>-0.9633818536307257</v>
      </c>
      <c r="K2671" s="87">
        <v>4.5146554479142855</v>
      </c>
    </row>
    <row r="2672" spans="9:11" x14ac:dyDescent="0.25">
      <c r="I2672" s="86">
        <v>2671</v>
      </c>
      <c r="J2672" s="87">
        <v>1.666570699738946</v>
      </c>
      <c r="K2672" s="87">
        <v>6.5270247779334589</v>
      </c>
    </row>
    <row r="2673" spans="9:11" x14ac:dyDescent="0.25">
      <c r="I2673" s="86">
        <v>2672</v>
      </c>
      <c r="J2673" s="87">
        <v>2.1558008641416193</v>
      </c>
      <c r="K2673" s="87">
        <v>4.5978087434671</v>
      </c>
    </row>
    <row r="2674" spans="9:11" x14ac:dyDescent="0.25">
      <c r="I2674" s="86">
        <v>2673</v>
      </c>
      <c r="J2674" s="87">
        <v>2.5765029292326052</v>
      </c>
      <c r="K2674" s="87">
        <v>5.2988351765318997</v>
      </c>
    </row>
    <row r="2675" spans="9:11" x14ac:dyDescent="0.25">
      <c r="I2675" s="86">
        <v>2674</v>
      </c>
      <c r="J2675" s="87">
        <v>1.5593461363183492</v>
      </c>
      <c r="K2675" s="87">
        <v>7.9361420082440217</v>
      </c>
    </row>
    <row r="2676" spans="9:11" x14ac:dyDescent="0.25">
      <c r="I2676" s="86">
        <v>2675</v>
      </c>
      <c r="J2676" s="87">
        <v>5.5314814194325201</v>
      </c>
      <c r="K2676" s="87">
        <v>10.391342414331289</v>
      </c>
    </row>
    <row r="2677" spans="9:11" x14ac:dyDescent="0.25">
      <c r="I2677" s="86">
        <v>2676</v>
      </c>
      <c r="J2677" s="87">
        <v>1.2779884840277136</v>
      </c>
      <c r="K2677" s="87">
        <v>6.7134121826367839</v>
      </c>
    </row>
    <row r="2678" spans="9:11" x14ac:dyDescent="0.25">
      <c r="I2678" s="86">
        <v>2677</v>
      </c>
      <c r="J2678" s="87">
        <v>3.3539298013353722</v>
      </c>
      <c r="K2678" s="87">
        <v>8.099597792849563</v>
      </c>
    </row>
    <row r="2679" spans="9:11" x14ac:dyDescent="0.25">
      <c r="I2679" s="86">
        <v>2678</v>
      </c>
      <c r="J2679" s="87">
        <v>2.5838401574526682</v>
      </c>
      <c r="K2679" s="87">
        <v>7.5444698964192307</v>
      </c>
    </row>
    <row r="2680" spans="9:11" x14ac:dyDescent="0.25">
      <c r="I2680" s="86">
        <v>2679</v>
      </c>
      <c r="J2680" s="87">
        <v>1.8149431717704383</v>
      </c>
      <c r="K2680" s="87">
        <v>7.9754893263510551</v>
      </c>
    </row>
    <row r="2681" spans="9:11" x14ac:dyDescent="0.25">
      <c r="I2681" s="86">
        <v>2680</v>
      </c>
      <c r="J2681" s="87">
        <v>4.2373308480641914E-2</v>
      </c>
      <c r="K2681" s="87">
        <v>4.8120877144865126</v>
      </c>
    </row>
    <row r="2682" spans="9:11" x14ac:dyDescent="0.25">
      <c r="I2682" s="86">
        <v>2681</v>
      </c>
      <c r="J2682" s="87">
        <v>1.3238956664733283</v>
      </c>
      <c r="K2682" s="87">
        <v>7.6333456251244955</v>
      </c>
    </row>
    <row r="2683" spans="9:11" x14ac:dyDescent="0.25">
      <c r="I2683" s="86">
        <v>2682</v>
      </c>
      <c r="J2683" s="87">
        <v>1.1223847660019635</v>
      </c>
      <c r="K2683" s="87">
        <v>5.5992646822424499</v>
      </c>
    </row>
    <row r="2684" spans="9:11" x14ac:dyDescent="0.25">
      <c r="I2684" s="86">
        <v>2683</v>
      </c>
      <c r="J2684" s="87">
        <v>0.1217735384671963</v>
      </c>
      <c r="K2684" s="87">
        <v>5.7864263606901769</v>
      </c>
    </row>
    <row r="2685" spans="9:11" x14ac:dyDescent="0.25">
      <c r="I2685" s="86">
        <v>2684</v>
      </c>
      <c r="J2685" s="87">
        <v>4.4224334067245383</v>
      </c>
      <c r="K2685" s="87">
        <v>10.627612315183818</v>
      </c>
    </row>
    <row r="2686" spans="9:11" x14ac:dyDescent="0.25">
      <c r="I2686" s="86">
        <v>2685</v>
      </c>
      <c r="J2686" s="87">
        <v>-1.1205797277738254</v>
      </c>
      <c r="K2686" s="87">
        <v>4.3807788538744621</v>
      </c>
    </row>
    <row r="2687" spans="9:11" x14ac:dyDescent="0.25">
      <c r="I2687" s="86">
        <v>2686</v>
      </c>
      <c r="J2687" s="87">
        <v>8.7857964143265157</v>
      </c>
      <c r="K2687" s="87">
        <v>9.7283625993271379</v>
      </c>
    </row>
    <row r="2688" spans="9:11" x14ac:dyDescent="0.25">
      <c r="I2688" s="86">
        <v>2687</v>
      </c>
      <c r="J2688" s="87">
        <v>1.5455325583532824</v>
      </c>
      <c r="K2688" s="87">
        <v>6.2154332282384042</v>
      </c>
    </row>
    <row r="2689" spans="9:11" x14ac:dyDescent="0.25">
      <c r="I2689" s="86">
        <v>2688</v>
      </c>
      <c r="J2689" s="87">
        <v>2.9386573823082003</v>
      </c>
      <c r="K2689" s="87">
        <v>7.9436567711518968</v>
      </c>
    </row>
    <row r="2690" spans="9:11" x14ac:dyDescent="0.25">
      <c r="I2690" s="86">
        <v>2689</v>
      </c>
      <c r="J2690" s="87">
        <v>1.7521240636672699</v>
      </c>
      <c r="K2690" s="87">
        <v>7.0000314614777572</v>
      </c>
    </row>
    <row r="2691" spans="9:11" x14ac:dyDescent="0.25">
      <c r="I2691" s="86">
        <v>2690</v>
      </c>
      <c r="J2691" s="87">
        <v>2.1139347242269197</v>
      </c>
      <c r="K2691" s="87">
        <v>7.0891919593009689</v>
      </c>
    </row>
    <row r="2692" spans="9:11" x14ac:dyDescent="0.25">
      <c r="I2692" s="86">
        <v>2691</v>
      </c>
      <c r="J2692" s="87">
        <v>0.59152579097697267</v>
      </c>
      <c r="K2692" s="87">
        <v>5.9610878924547821</v>
      </c>
    </row>
    <row r="2693" spans="9:11" x14ac:dyDescent="0.25">
      <c r="I2693" s="86">
        <v>2692</v>
      </c>
      <c r="J2693" s="87">
        <v>5.910645875294847</v>
      </c>
      <c r="K2693" s="87">
        <v>9.9646000317585752</v>
      </c>
    </row>
    <row r="2694" spans="9:11" x14ac:dyDescent="0.25">
      <c r="I2694" s="86">
        <v>2693</v>
      </c>
      <c r="J2694" s="87">
        <v>1.319223824771254</v>
      </c>
      <c r="K2694" s="87">
        <v>6.6815027588357943</v>
      </c>
    </row>
    <row r="2695" spans="9:11" x14ac:dyDescent="0.25">
      <c r="I2695" s="86">
        <v>2694</v>
      </c>
      <c r="J2695" s="87">
        <v>12.323478077977738</v>
      </c>
      <c r="K2695" s="87">
        <v>12.120129267221953</v>
      </c>
    </row>
    <row r="2696" spans="9:11" x14ac:dyDescent="0.25">
      <c r="I2696" s="86">
        <v>2695</v>
      </c>
      <c r="J2696" s="87">
        <v>1.549894221764994</v>
      </c>
      <c r="K2696" s="87">
        <v>5.1744688888218491</v>
      </c>
    </row>
    <row r="2697" spans="9:11" x14ac:dyDescent="0.25">
      <c r="I2697" s="86">
        <v>2696</v>
      </c>
      <c r="J2697" s="87">
        <v>1.9342789708694905</v>
      </c>
      <c r="K2697" s="87">
        <v>8.0862006836153633</v>
      </c>
    </row>
    <row r="2698" spans="9:11" x14ac:dyDescent="0.25">
      <c r="I2698" s="86">
        <v>2697</v>
      </c>
      <c r="J2698" s="87">
        <v>0.33954272373521022</v>
      </c>
      <c r="K2698" s="87">
        <v>5.1998086180723844</v>
      </c>
    </row>
    <row r="2699" spans="9:11" x14ac:dyDescent="0.25">
      <c r="I2699" s="86">
        <v>2698</v>
      </c>
      <c r="J2699" s="87">
        <v>3.2900067480028268</v>
      </c>
      <c r="K2699" s="87">
        <v>9.0753173608553475</v>
      </c>
    </row>
    <row r="2700" spans="9:11" x14ac:dyDescent="0.25">
      <c r="I2700" s="86">
        <v>2699</v>
      </c>
      <c r="J2700" s="87">
        <v>2.0385919241445745</v>
      </c>
      <c r="K2700" s="87">
        <v>7.7471661601993818</v>
      </c>
    </row>
    <row r="2701" spans="9:11" x14ac:dyDescent="0.25">
      <c r="I2701" s="86">
        <v>2700</v>
      </c>
      <c r="J2701" s="87">
        <v>1.6730394447896781</v>
      </c>
      <c r="K2701" s="87">
        <v>6.3750469690911622</v>
      </c>
    </row>
    <row r="2702" spans="9:11" x14ac:dyDescent="0.25">
      <c r="I2702" s="86">
        <v>2701</v>
      </c>
      <c r="J2702" s="87">
        <v>-1.207585940137184</v>
      </c>
      <c r="K2702" s="87">
        <v>6.0986624047819591</v>
      </c>
    </row>
    <row r="2703" spans="9:11" x14ac:dyDescent="0.25">
      <c r="I2703" s="86">
        <v>2702</v>
      </c>
      <c r="J2703" s="87">
        <v>1.9473232263051363</v>
      </c>
      <c r="K2703" s="87">
        <v>7.5734811143279837</v>
      </c>
    </row>
    <row r="2704" spans="9:11" x14ac:dyDescent="0.25">
      <c r="I2704" s="86">
        <v>2703</v>
      </c>
      <c r="J2704" s="87">
        <v>2.4452914164529655</v>
      </c>
      <c r="K2704" s="87">
        <v>9.0037306704974682</v>
      </c>
    </row>
    <row r="2705" spans="9:11" x14ac:dyDescent="0.25">
      <c r="I2705" s="86">
        <v>2704</v>
      </c>
      <c r="J2705" s="87">
        <v>0.66235519479286298</v>
      </c>
      <c r="K2705" s="87">
        <v>5.3142607024639892</v>
      </c>
    </row>
    <row r="2706" spans="9:11" x14ac:dyDescent="0.25">
      <c r="I2706" s="86">
        <v>2705</v>
      </c>
      <c r="J2706" s="87">
        <v>4.9698326508158752</v>
      </c>
      <c r="K2706" s="87">
        <v>8.2122207498430022</v>
      </c>
    </row>
    <row r="2707" spans="9:11" x14ac:dyDescent="0.25">
      <c r="I2707" s="86">
        <v>2706</v>
      </c>
      <c r="J2707" s="87">
        <v>2.4457346803741613</v>
      </c>
      <c r="K2707" s="87">
        <v>8.0143157389636848</v>
      </c>
    </row>
    <row r="2708" spans="9:11" x14ac:dyDescent="0.25">
      <c r="I2708" s="86">
        <v>2707</v>
      </c>
      <c r="J2708" s="87">
        <v>1.5383795050047979</v>
      </c>
      <c r="K2708" s="87">
        <v>6.3235992298499557</v>
      </c>
    </row>
    <row r="2709" spans="9:11" x14ac:dyDescent="0.25">
      <c r="I2709" s="86">
        <v>2708</v>
      </c>
      <c r="J2709" s="87">
        <v>0.97940123838512338</v>
      </c>
      <c r="K2709" s="87">
        <v>6.8608691377848992</v>
      </c>
    </row>
    <row r="2710" spans="9:11" x14ac:dyDescent="0.25">
      <c r="I2710" s="86">
        <v>2709</v>
      </c>
      <c r="J2710" s="87">
        <v>2.2174320882696685</v>
      </c>
      <c r="K2710" s="87">
        <v>7.3376595756450822</v>
      </c>
    </row>
    <row r="2711" spans="9:11" x14ac:dyDescent="0.25">
      <c r="I2711" s="86">
        <v>2710</v>
      </c>
      <c r="J2711" s="87">
        <v>12.657568509075642</v>
      </c>
      <c r="K2711" s="87">
        <v>12.314061585790817</v>
      </c>
    </row>
    <row r="2712" spans="9:11" x14ac:dyDescent="0.25">
      <c r="I2712" s="86">
        <v>2711</v>
      </c>
      <c r="J2712" s="87">
        <v>1.09919858429061</v>
      </c>
      <c r="K2712" s="87">
        <v>6.4393472448927538</v>
      </c>
    </row>
    <row r="2713" spans="9:11" x14ac:dyDescent="0.25">
      <c r="I2713" s="86">
        <v>2712</v>
      </c>
      <c r="J2713" s="87">
        <v>11.389692390734966</v>
      </c>
      <c r="K2713" s="87">
        <v>12.856787574526825</v>
      </c>
    </row>
    <row r="2714" spans="9:11" x14ac:dyDescent="0.25">
      <c r="I2714" s="86">
        <v>2713</v>
      </c>
      <c r="J2714" s="87">
        <v>1.7083134619350107</v>
      </c>
      <c r="K2714" s="87">
        <v>5.5897841249089417</v>
      </c>
    </row>
    <row r="2715" spans="9:11" x14ac:dyDescent="0.25">
      <c r="I2715" s="86">
        <v>2714</v>
      </c>
      <c r="J2715" s="87">
        <v>1.7702042167823873</v>
      </c>
      <c r="K2715" s="87">
        <v>8.5669969248693754</v>
      </c>
    </row>
    <row r="2716" spans="9:11" x14ac:dyDescent="0.25">
      <c r="I2716" s="86">
        <v>2715</v>
      </c>
      <c r="J2716" s="87">
        <v>0.20101484258089952</v>
      </c>
      <c r="K2716" s="87">
        <v>4.6235722833616375</v>
      </c>
    </row>
    <row r="2717" spans="9:11" x14ac:dyDescent="0.25">
      <c r="I2717" s="86">
        <v>2716</v>
      </c>
      <c r="J2717" s="87">
        <v>1.1655157012041046</v>
      </c>
      <c r="K2717" s="87">
        <v>7.9732470401835842</v>
      </c>
    </row>
    <row r="2718" spans="9:11" x14ac:dyDescent="0.25">
      <c r="I2718" s="86">
        <v>2717</v>
      </c>
      <c r="J2718" s="87">
        <v>3.7061211195713248</v>
      </c>
      <c r="K2718" s="87">
        <v>7.3631653626841373</v>
      </c>
    </row>
    <row r="2719" spans="9:11" x14ac:dyDescent="0.25">
      <c r="I2719" s="86">
        <v>2718</v>
      </c>
      <c r="J2719" s="87">
        <v>-1.1254385978389081</v>
      </c>
      <c r="K2719" s="87">
        <v>5.6602773314640888</v>
      </c>
    </row>
    <row r="2720" spans="9:11" x14ac:dyDescent="0.25">
      <c r="I2720" s="86">
        <v>2719</v>
      </c>
      <c r="J2720" s="87">
        <v>2.4706176429703106</v>
      </c>
      <c r="K2720" s="87">
        <v>7.0047972265168896</v>
      </c>
    </row>
    <row r="2721" spans="9:11" x14ac:dyDescent="0.25">
      <c r="I2721" s="86">
        <v>2720</v>
      </c>
      <c r="J2721" s="87">
        <v>1.4300263813241312</v>
      </c>
      <c r="K2721" s="87">
        <v>6.7636081029349331</v>
      </c>
    </row>
    <row r="2722" spans="9:11" x14ac:dyDescent="0.25">
      <c r="I2722" s="86">
        <v>2721</v>
      </c>
      <c r="J2722" s="87">
        <v>3.1044046056254073</v>
      </c>
      <c r="K2722" s="87">
        <v>8.090959782167241</v>
      </c>
    </row>
    <row r="2723" spans="9:11" x14ac:dyDescent="0.25">
      <c r="I2723" s="86">
        <v>2722</v>
      </c>
      <c r="J2723" s="87">
        <v>-2.0330133017302923</v>
      </c>
      <c r="K2723" s="87">
        <v>4.4730141741216149</v>
      </c>
    </row>
    <row r="2724" spans="9:11" x14ac:dyDescent="0.25">
      <c r="I2724" s="86">
        <v>2723</v>
      </c>
      <c r="J2724" s="87">
        <v>1.9772875161075074</v>
      </c>
      <c r="K2724" s="87">
        <v>7.515795534742673</v>
      </c>
    </row>
    <row r="2725" spans="9:11" x14ac:dyDescent="0.25">
      <c r="I2725" s="86">
        <v>2724</v>
      </c>
      <c r="J2725" s="87">
        <v>4.999245026766868</v>
      </c>
      <c r="K2725" s="87">
        <v>8.3747178142609773</v>
      </c>
    </row>
    <row r="2726" spans="9:11" x14ac:dyDescent="0.25">
      <c r="I2726" s="86">
        <v>2725</v>
      </c>
      <c r="J2726" s="87">
        <v>2.1317300014221603</v>
      </c>
      <c r="K2726" s="87">
        <v>6.8561525422110039</v>
      </c>
    </row>
    <row r="2727" spans="9:11" x14ac:dyDescent="0.25">
      <c r="I2727" s="86">
        <v>2726</v>
      </c>
      <c r="J2727" s="87">
        <v>1.7916187430684269</v>
      </c>
      <c r="K2727" s="87">
        <v>6.5703885638807504</v>
      </c>
    </row>
    <row r="2728" spans="9:11" x14ac:dyDescent="0.25">
      <c r="I2728" s="86">
        <v>2727</v>
      </c>
      <c r="J2728" s="87">
        <v>9.4417181767284752E-2</v>
      </c>
      <c r="K2728" s="87">
        <v>5.800472348993023</v>
      </c>
    </row>
    <row r="2729" spans="9:11" x14ac:dyDescent="0.25">
      <c r="I2729" s="86">
        <v>2728</v>
      </c>
      <c r="J2729" s="87">
        <v>4.0604748976994784</v>
      </c>
      <c r="K2729" s="87">
        <v>10.071148741947935</v>
      </c>
    </row>
    <row r="2730" spans="9:11" x14ac:dyDescent="0.25">
      <c r="I2730" s="86">
        <v>2729</v>
      </c>
      <c r="J2730" s="87">
        <v>3.0626424697792185</v>
      </c>
      <c r="K2730" s="87">
        <v>11.472484153786755</v>
      </c>
    </row>
    <row r="2731" spans="9:11" x14ac:dyDescent="0.25">
      <c r="I2731" s="86">
        <v>2730</v>
      </c>
      <c r="J2731" s="87">
        <v>2.2802314187466033</v>
      </c>
      <c r="K2731" s="87">
        <v>9.1391711462896197</v>
      </c>
    </row>
    <row r="2732" spans="9:11" x14ac:dyDescent="0.25">
      <c r="I2732" s="86">
        <v>2731</v>
      </c>
      <c r="J2732" s="87">
        <v>1.8217705362806749</v>
      </c>
      <c r="K2732" s="87">
        <v>6.5073163179155609</v>
      </c>
    </row>
    <row r="2733" spans="9:11" x14ac:dyDescent="0.25">
      <c r="I2733" s="86">
        <v>2732</v>
      </c>
      <c r="J2733" s="87">
        <v>1.5471208977083597</v>
      </c>
      <c r="K2733" s="87">
        <v>7.759341237002495</v>
      </c>
    </row>
    <row r="2734" spans="9:11" x14ac:dyDescent="0.25">
      <c r="I2734" s="86">
        <v>2733</v>
      </c>
      <c r="J2734" s="87">
        <v>1.0132378640962347</v>
      </c>
      <c r="K2734" s="87">
        <v>8.5169861624447876</v>
      </c>
    </row>
    <row r="2735" spans="9:11" x14ac:dyDescent="0.25">
      <c r="I2735" s="86">
        <v>2734</v>
      </c>
      <c r="J2735" s="87">
        <v>2.3048582100135926</v>
      </c>
      <c r="K2735" s="87">
        <v>7.8691407698406302</v>
      </c>
    </row>
    <row r="2736" spans="9:11" x14ac:dyDescent="0.25">
      <c r="I2736" s="86">
        <v>2735</v>
      </c>
      <c r="J2736" s="87">
        <v>-2.2138587727245325</v>
      </c>
      <c r="K2736" s="87">
        <v>4.9723730357006746</v>
      </c>
    </row>
    <row r="2737" spans="9:11" x14ac:dyDescent="0.25">
      <c r="I2737" s="86">
        <v>2736</v>
      </c>
      <c r="J2737" s="87">
        <v>0.74839332392007041</v>
      </c>
      <c r="K2737" s="87">
        <v>5.9758553736072404</v>
      </c>
    </row>
    <row r="2738" spans="9:11" x14ac:dyDescent="0.25">
      <c r="I2738" s="86">
        <v>2737</v>
      </c>
      <c r="J2738" s="87">
        <v>2.4493026461826481</v>
      </c>
      <c r="K2738" s="87">
        <v>7.2313787718182532</v>
      </c>
    </row>
    <row r="2739" spans="9:11" x14ac:dyDescent="0.25">
      <c r="I2739" s="86">
        <v>2738</v>
      </c>
      <c r="J2739" s="87">
        <v>1.940091635796656</v>
      </c>
      <c r="K2739" s="87">
        <v>6.4386750118646932</v>
      </c>
    </row>
    <row r="2740" spans="9:11" x14ac:dyDescent="0.25">
      <c r="I2740" s="86">
        <v>2739</v>
      </c>
      <c r="J2740" s="87">
        <v>5.6730913016069131</v>
      </c>
      <c r="K2740" s="87">
        <v>9.3217382339961876</v>
      </c>
    </row>
    <row r="2741" spans="9:11" x14ac:dyDescent="0.25">
      <c r="I2741" s="86">
        <v>2740</v>
      </c>
      <c r="J2741" s="87">
        <v>-0.21417114422185879</v>
      </c>
      <c r="K2741" s="87">
        <v>4.9942000076396695</v>
      </c>
    </row>
    <row r="2742" spans="9:11" x14ac:dyDescent="0.25">
      <c r="I2742" s="86">
        <v>2741</v>
      </c>
      <c r="J2742" s="87">
        <v>1.5053160746174914</v>
      </c>
      <c r="K2742" s="87">
        <v>7.0503694413653619</v>
      </c>
    </row>
    <row r="2743" spans="9:11" x14ac:dyDescent="0.25">
      <c r="I2743" s="86">
        <v>2742</v>
      </c>
      <c r="J2743" s="87">
        <v>5.6172702062111135</v>
      </c>
      <c r="K2743" s="87">
        <v>8.5819467206409659</v>
      </c>
    </row>
    <row r="2744" spans="9:11" x14ac:dyDescent="0.25">
      <c r="I2744" s="86">
        <v>2743</v>
      </c>
      <c r="J2744" s="87">
        <v>2.1380958157509546</v>
      </c>
      <c r="K2744" s="87">
        <v>8.1714500525145368</v>
      </c>
    </row>
    <row r="2745" spans="9:11" x14ac:dyDescent="0.25">
      <c r="I2745" s="86">
        <v>2744</v>
      </c>
      <c r="J2745" s="87">
        <v>5.68648951699533E-2</v>
      </c>
      <c r="K2745" s="87">
        <v>5.4108173726680215</v>
      </c>
    </row>
    <row r="2746" spans="9:11" x14ac:dyDescent="0.25">
      <c r="I2746" s="86">
        <v>2745</v>
      </c>
      <c r="J2746" s="87">
        <v>2.1594360230403753</v>
      </c>
      <c r="K2746" s="87">
        <v>6.1231936342521509</v>
      </c>
    </row>
    <row r="2747" spans="9:11" x14ac:dyDescent="0.25">
      <c r="I2747" s="86">
        <v>2746</v>
      </c>
      <c r="J2747" s="87">
        <v>2.228865264949901</v>
      </c>
      <c r="K2747" s="87">
        <v>7.5406260934374325</v>
      </c>
    </row>
    <row r="2748" spans="9:11" x14ac:dyDescent="0.25">
      <c r="I2748" s="86">
        <v>2747</v>
      </c>
      <c r="J2748" s="87">
        <v>0.3102689427980474</v>
      </c>
      <c r="K2748" s="87">
        <v>6.9091544993139653</v>
      </c>
    </row>
    <row r="2749" spans="9:11" x14ac:dyDescent="0.25">
      <c r="I2749" s="86">
        <v>2748</v>
      </c>
      <c r="J2749" s="87">
        <v>1.6031544298746372</v>
      </c>
      <c r="K2749" s="87">
        <v>4.9311563048194795</v>
      </c>
    </row>
    <row r="2750" spans="9:11" x14ac:dyDescent="0.25">
      <c r="I2750" s="86">
        <v>2749</v>
      </c>
      <c r="J2750" s="87">
        <v>1.5144949118701092</v>
      </c>
      <c r="K2750" s="87">
        <v>7.1450111245019636</v>
      </c>
    </row>
    <row r="2751" spans="9:11" x14ac:dyDescent="0.25">
      <c r="I2751" s="86">
        <v>2750</v>
      </c>
      <c r="J2751" s="87">
        <v>6.7708890931428352</v>
      </c>
      <c r="K2751" s="87">
        <v>8.8950681935274041</v>
      </c>
    </row>
    <row r="2752" spans="9:11" x14ac:dyDescent="0.25">
      <c r="I2752" s="86">
        <v>2751</v>
      </c>
      <c r="J2752" s="87">
        <v>-0.33698979815023389</v>
      </c>
      <c r="K2752" s="87">
        <v>5.9479021780656014</v>
      </c>
    </row>
    <row r="2753" spans="9:11" x14ac:dyDescent="0.25">
      <c r="I2753" s="86">
        <v>2752</v>
      </c>
      <c r="J2753" s="87">
        <v>7.0265149544950862</v>
      </c>
      <c r="K2753" s="87">
        <v>9.7233912533504849</v>
      </c>
    </row>
    <row r="2754" spans="9:11" x14ac:dyDescent="0.25">
      <c r="I2754" s="86">
        <v>2753</v>
      </c>
      <c r="J2754" s="87">
        <v>2.2046587677815621</v>
      </c>
      <c r="K2754" s="87">
        <v>7.8990983604397043</v>
      </c>
    </row>
    <row r="2755" spans="9:11" x14ac:dyDescent="0.25">
      <c r="I2755" s="86">
        <v>2754</v>
      </c>
      <c r="J2755" s="87">
        <v>1.949464283090018</v>
      </c>
      <c r="K2755" s="87">
        <v>6.4754956554288325</v>
      </c>
    </row>
    <row r="2756" spans="9:11" x14ac:dyDescent="0.25">
      <c r="I2756" s="86">
        <v>2755</v>
      </c>
      <c r="J2756" s="87">
        <v>-0.17903259100318003</v>
      </c>
      <c r="K2756" s="87">
        <v>6.2094622951633562</v>
      </c>
    </row>
    <row r="2757" spans="9:11" x14ac:dyDescent="0.25">
      <c r="I2757" s="86">
        <v>2756</v>
      </c>
      <c r="J2757" s="87">
        <v>2.9329045699469605</v>
      </c>
      <c r="K2757" s="87">
        <v>7.2443694647493162</v>
      </c>
    </row>
    <row r="2758" spans="9:11" x14ac:dyDescent="0.25">
      <c r="I2758" s="86">
        <v>2757</v>
      </c>
      <c r="J2758" s="87">
        <v>5.3235481794525263</v>
      </c>
      <c r="K2758" s="87">
        <v>9.4395990174455235</v>
      </c>
    </row>
    <row r="2759" spans="9:11" x14ac:dyDescent="0.25">
      <c r="I2759" s="86">
        <v>2758</v>
      </c>
      <c r="J2759" s="87">
        <v>4.3200217805818095</v>
      </c>
      <c r="K2759" s="87">
        <v>8.4932583339435119</v>
      </c>
    </row>
    <row r="2760" spans="9:11" x14ac:dyDescent="0.25">
      <c r="I2760" s="86">
        <v>2759</v>
      </c>
      <c r="J2760" s="87">
        <v>1.959107838532991</v>
      </c>
      <c r="K2760" s="87">
        <v>6.4922201290682029</v>
      </c>
    </row>
    <row r="2761" spans="9:11" x14ac:dyDescent="0.25">
      <c r="I2761" s="86">
        <v>2760</v>
      </c>
      <c r="J2761" s="87">
        <v>1.0275866184153082</v>
      </c>
      <c r="K2761" s="87">
        <v>6.0168659663219373</v>
      </c>
    </row>
    <row r="2762" spans="9:11" x14ac:dyDescent="0.25">
      <c r="I2762" s="86">
        <v>2761</v>
      </c>
      <c r="J2762" s="87">
        <v>-2.7569194730776125E-2</v>
      </c>
      <c r="K2762" s="87">
        <v>5.0602597262069553</v>
      </c>
    </row>
    <row r="2763" spans="9:11" x14ac:dyDescent="0.25">
      <c r="I2763" s="86">
        <v>2762</v>
      </c>
      <c r="J2763" s="87">
        <v>1.4813502127279325</v>
      </c>
      <c r="K2763" s="87">
        <v>4.0103635330939627</v>
      </c>
    </row>
    <row r="2764" spans="9:11" x14ac:dyDescent="0.25">
      <c r="I2764" s="86">
        <v>2763</v>
      </c>
      <c r="J2764" s="87">
        <v>6.761797859350601</v>
      </c>
      <c r="K2764" s="87">
        <v>11.614207004477015</v>
      </c>
    </row>
    <row r="2765" spans="9:11" x14ac:dyDescent="0.25">
      <c r="I2765" s="86">
        <v>2764</v>
      </c>
      <c r="J2765" s="87">
        <v>7.9288024239665411E-2</v>
      </c>
      <c r="K2765" s="87">
        <v>5.4981065377526779</v>
      </c>
    </row>
    <row r="2766" spans="9:11" x14ac:dyDescent="0.25">
      <c r="I2766" s="86">
        <v>2765</v>
      </c>
      <c r="J2766" s="87">
        <v>0.49484541406733928</v>
      </c>
      <c r="K2766" s="87">
        <v>4.6241404937908692</v>
      </c>
    </row>
    <row r="2767" spans="9:11" x14ac:dyDescent="0.25">
      <c r="I2767" s="86">
        <v>2766</v>
      </c>
      <c r="J2767" s="87">
        <v>3.9621349179861429</v>
      </c>
      <c r="K2767" s="87">
        <v>7.9505537520350957</v>
      </c>
    </row>
    <row r="2768" spans="9:11" x14ac:dyDescent="0.25">
      <c r="I2768" s="86">
        <v>2767</v>
      </c>
      <c r="J2768" s="87">
        <v>1.7106398496405131</v>
      </c>
      <c r="K2768" s="87">
        <v>5.437268578902227</v>
      </c>
    </row>
    <row r="2769" spans="9:11" x14ac:dyDescent="0.25">
      <c r="I2769" s="86">
        <v>2768</v>
      </c>
      <c r="J2769" s="87">
        <v>1.0139833843261257</v>
      </c>
      <c r="K2769" s="87">
        <v>5.5851031405410074</v>
      </c>
    </row>
    <row r="2770" spans="9:11" x14ac:dyDescent="0.25">
      <c r="I2770" s="86">
        <v>2769</v>
      </c>
      <c r="J2770" s="87">
        <v>2.8861186697655405</v>
      </c>
      <c r="K2770" s="87">
        <v>10.04535228639903</v>
      </c>
    </row>
    <row r="2771" spans="9:11" x14ac:dyDescent="0.25">
      <c r="I2771" s="86">
        <v>2770</v>
      </c>
      <c r="J2771" s="87">
        <v>6.4420639294789641</v>
      </c>
      <c r="K2771" s="87">
        <v>10.42962404403977</v>
      </c>
    </row>
    <row r="2772" spans="9:11" x14ac:dyDescent="0.25">
      <c r="I2772" s="86">
        <v>2771</v>
      </c>
      <c r="J2772" s="87">
        <v>5.0404005968904215</v>
      </c>
      <c r="K2772" s="87">
        <v>10.00030489363936</v>
      </c>
    </row>
    <row r="2773" spans="9:11" x14ac:dyDescent="0.25">
      <c r="I2773" s="86">
        <v>2772</v>
      </c>
      <c r="J2773" s="87">
        <v>-0.70375227462487011</v>
      </c>
      <c r="K2773" s="87">
        <v>5.5898345222617056</v>
      </c>
    </row>
    <row r="2774" spans="9:11" x14ac:dyDescent="0.25">
      <c r="I2774" s="86">
        <v>2773</v>
      </c>
      <c r="J2774" s="87">
        <v>5.7158581095574688</v>
      </c>
      <c r="K2774" s="87">
        <v>9.1949543408293692</v>
      </c>
    </row>
    <row r="2775" spans="9:11" x14ac:dyDescent="0.25">
      <c r="I2775" s="86">
        <v>2774</v>
      </c>
      <c r="J2775" s="87">
        <v>5.796332079998022</v>
      </c>
      <c r="K2775" s="87">
        <v>9.6246576008879163</v>
      </c>
    </row>
    <row r="2776" spans="9:11" x14ac:dyDescent="0.25">
      <c r="I2776" s="86">
        <v>2775</v>
      </c>
      <c r="J2776" s="87">
        <v>3.6374923287061849</v>
      </c>
      <c r="K2776" s="87">
        <v>8.1801553687819464</v>
      </c>
    </row>
    <row r="2777" spans="9:11" x14ac:dyDescent="0.25">
      <c r="I2777" s="86">
        <v>2776</v>
      </c>
      <c r="J2777" s="87">
        <v>1.221001481884127</v>
      </c>
      <c r="K2777" s="87">
        <v>5.6253465966616263</v>
      </c>
    </row>
    <row r="2778" spans="9:11" x14ac:dyDescent="0.25">
      <c r="I2778" s="86">
        <v>2777</v>
      </c>
      <c r="J2778" s="87">
        <v>1.6477093025137197</v>
      </c>
      <c r="K2778" s="87">
        <v>7.4275428390538298</v>
      </c>
    </row>
    <row r="2779" spans="9:11" x14ac:dyDescent="0.25">
      <c r="I2779" s="86">
        <v>2778</v>
      </c>
      <c r="J2779" s="87">
        <v>0.96235776709699117</v>
      </c>
      <c r="K2779" s="87">
        <v>6.0206368364398966</v>
      </c>
    </row>
    <row r="2780" spans="9:11" x14ac:dyDescent="0.25">
      <c r="I2780" s="86">
        <v>2779</v>
      </c>
      <c r="J2780" s="87">
        <v>-1.4070303278369991</v>
      </c>
      <c r="K2780" s="87">
        <v>4.8000186873321322</v>
      </c>
    </row>
    <row r="2781" spans="9:11" x14ac:dyDescent="0.25">
      <c r="I2781" s="86">
        <v>2780</v>
      </c>
      <c r="J2781" s="87">
        <v>-1.4190197852213</v>
      </c>
      <c r="K2781" s="87">
        <v>5.9682350434371383</v>
      </c>
    </row>
    <row r="2782" spans="9:11" x14ac:dyDescent="0.25">
      <c r="I2782" s="86">
        <v>2781</v>
      </c>
      <c r="J2782" s="87">
        <v>-1.217370064349157</v>
      </c>
      <c r="K2782" s="87">
        <v>6.3211772306151808</v>
      </c>
    </row>
    <row r="2783" spans="9:11" x14ac:dyDescent="0.25">
      <c r="I2783" s="86">
        <v>2782</v>
      </c>
      <c r="J2783" s="87">
        <v>0.27040797400258754</v>
      </c>
      <c r="K2783" s="87">
        <v>7.098743433529493</v>
      </c>
    </row>
    <row r="2784" spans="9:11" x14ac:dyDescent="0.25">
      <c r="I2784" s="86">
        <v>2783</v>
      </c>
      <c r="J2784" s="87">
        <v>0.6669826374989718</v>
      </c>
      <c r="K2784" s="87">
        <v>6.8539094773566189</v>
      </c>
    </row>
    <row r="2785" spans="9:11" x14ac:dyDescent="0.25">
      <c r="I2785" s="86">
        <v>2784</v>
      </c>
      <c r="J2785" s="87">
        <v>1.04057242322944</v>
      </c>
      <c r="K2785" s="87">
        <v>8.0033637117417857</v>
      </c>
    </row>
    <row r="2786" spans="9:11" x14ac:dyDescent="0.25">
      <c r="I2786" s="86">
        <v>2785</v>
      </c>
      <c r="J2786" s="87">
        <v>2.7009466742785184</v>
      </c>
      <c r="K2786" s="87">
        <v>7.0344335427438995</v>
      </c>
    </row>
    <row r="2787" spans="9:11" x14ac:dyDescent="0.25">
      <c r="I2787" s="86">
        <v>2786</v>
      </c>
      <c r="J2787" s="87">
        <v>-0.13228191019204694</v>
      </c>
      <c r="K2787" s="87">
        <v>5.0640505513212482</v>
      </c>
    </row>
    <row r="2788" spans="9:11" x14ac:dyDescent="0.25">
      <c r="I2788" s="86">
        <v>2787</v>
      </c>
      <c r="J2788" s="87">
        <v>3.6337878375924957</v>
      </c>
      <c r="K2788" s="87">
        <v>7.3573059449535085</v>
      </c>
    </row>
    <row r="2789" spans="9:11" x14ac:dyDescent="0.25">
      <c r="I2789" s="86">
        <v>2788</v>
      </c>
      <c r="J2789" s="87">
        <v>3.7616891807432289</v>
      </c>
      <c r="K2789" s="87">
        <v>7.5394433505827161</v>
      </c>
    </row>
    <row r="2790" spans="9:11" x14ac:dyDescent="0.25">
      <c r="I2790" s="86">
        <v>2789</v>
      </c>
      <c r="J2790" s="87">
        <v>1.8191827488149102</v>
      </c>
      <c r="K2790" s="87">
        <v>8.3048177352591868</v>
      </c>
    </row>
    <row r="2791" spans="9:11" x14ac:dyDescent="0.25">
      <c r="I2791" s="86">
        <v>2790</v>
      </c>
      <c r="J2791" s="87">
        <v>4.4786729717156888</v>
      </c>
      <c r="K2791" s="87">
        <v>10.544122063632202</v>
      </c>
    </row>
    <row r="2792" spans="9:11" x14ac:dyDescent="0.25">
      <c r="I2792" s="86">
        <v>2791</v>
      </c>
      <c r="J2792" s="87">
        <v>-0.44146839543766614</v>
      </c>
      <c r="K2792" s="87">
        <v>5.7817278209397225</v>
      </c>
    </row>
    <row r="2793" spans="9:11" x14ac:dyDescent="0.25">
      <c r="I2793" s="86">
        <v>2792</v>
      </c>
      <c r="J2793" s="87">
        <v>3.0843339764986171</v>
      </c>
      <c r="K2793" s="87">
        <v>9.715335305023304</v>
      </c>
    </row>
    <row r="2794" spans="9:11" x14ac:dyDescent="0.25">
      <c r="I2794" s="86">
        <v>2793</v>
      </c>
      <c r="J2794" s="87">
        <v>5.5911156548508831</v>
      </c>
      <c r="K2794" s="87">
        <v>10.007710959382122</v>
      </c>
    </row>
    <row r="2795" spans="9:11" x14ac:dyDescent="0.25">
      <c r="I2795" s="86">
        <v>2794</v>
      </c>
      <c r="J2795" s="87">
        <v>1.2332886140621175</v>
      </c>
      <c r="K2795" s="87">
        <v>7.9417107252961694</v>
      </c>
    </row>
    <row r="2796" spans="9:11" x14ac:dyDescent="0.25">
      <c r="I2796" s="86">
        <v>2795</v>
      </c>
      <c r="J2796" s="87">
        <v>2.2670560990085979</v>
      </c>
      <c r="K2796" s="87">
        <v>7.3638235997126795</v>
      </c>
    </row>
    <row r="2797" spans="9:11" x14ac:dyDescent="0.25">
      <c r="I2797" s="86">
        <v>2796</v>
      </c>
      <c r="J2797" s="87">
        <v>0.38958249975115278</v>
      </c>
      <c r="K2797" s="87">
        <v>5.2517100041394693</v>
      </c>
    </row>
    <row r="2798" spans="9:11" x14ac:dyDescent="0.25">
      <c r="I2798" s="86">
        <v>2797</v>
      </c>
      <c r="J2798" s="87">
        <v>3.6468571147139279</v>
      </c>
      <c r="K2798" s="87">
        <v>8.3689747153745895</v>
      </c>
    </row>
    <row r="2799" spans="9:11" x14ac:dyDescent="0.25">
      <c r="I2799" s="86">
        <v>2798</v>
      </c>
      <c r="J2799" s="87">
        <v>1.0274863624710995</v>
      </c>
      <c r="K2799" s="87">
        <v>4.7807074207141502</v>
      </c>
    </row>
    <row r="2800" spans="9:11" x14ac:dyDescent="0.25">
      <c r="I2800" s="86">
        <v>2799</v>
      </c>
      <c r="J2800" s="87">
        <v>2.5202332211141316</v>
      </c>
      <c r="K2800" s="87">
        <v>7.8339194631693472</v>
      </c>
    </row>
    <row r="2801" spans="9:11" x14ac:dyDescent="0.25">
      <c r="I2801" s="86">
        <v>2800</v>
      </c>
      <c r="J2801" s="87">
        <v>1.6584989462548396</v>
      </c>
      <c r="K2801" s="87">
        <v>5.6096046193527069</v>
      </c>
    </row>
    <row r="2802" spans="9:11" x14ac:dyDescent="0.25">
      <c r="I2802" s="86">
        <v>2801</v>
      </c>
      <c r="J2802" s="87">
        <v>3.5733463757922763</v>
      </c>
      <c r="K2802" s="87">
        <v>6.9238850320203351</v>
      </c>
    </row>
    <row r="2803" spans="9:11" x14ac:dyDescent="0.25">
      <c r="I2803" s="86">
        <v>2802</v>
      </c>
      <c r="J2803" s="87">
        <v>-0.54397103679183667</v>
      </c>
      <c r="K2803" s="87">
        <v>4.3677268567315917</v>
      </c>
    </row>
    <row r="2804" spans="9:11" x14ac:dyDescent="0.25">
      <c r="I2804" s="86">
        <v>2803</v>
      </c>
      <c r="J2804" s="87">
        <v>0.3674128251047919</v>
      </c>
      <c r="K2804" s="87">
        <v>5.1601111080607982</v>
      </c>
    </row>
    <row r="2805" spans="9:11" x14ac:dyDescent="0.25">
      <c r="I2805" s="86">
        <v>2804</v>
      </c>
      <c r="J2805" s="87">
        <v>3.6240575533816823</v>
      </c>
      <c r="K2805" s="87">
        <v>9.1867405975337828</v>
      </c>
    </row>
    <row r="2806" spans="9:11" x14ac:dyDescent="0.25">
      <c r="I2806" s="86">
        <v>2805</v>
      </c>
      <c r="J2806" s="87">
        <v>1.5645486904861237</v>
      </c>
      <c r="K2806" s="87">
        <v>7.236632947262402</v>
      </c>
    </row>
    <row r="2807" spans="9:11" x14ac:dyDescent="0.25">
      <c r="I2807" s="86">
        <v>2806</v>
      </c>
      <c r="J2807" s="87">
        <v>3.3922307300568466</v>
      </c>
      <c r="K2807" s="87">
        <v>5.996671124590911</v>
      </c>
    </row>
    <row r="2808" spans="9:11" x14ac:dyDescent="0.25">
      <c r="I2808" s="86">
        <v>2807</v>
      </c>
      <c r="J2808" s="87">
        <v>2.940348256435283</v>
      </c>
      <c r="K2808" s="87">
        <v>9.4831923403778831</v>
      </c>
    </row>
    <row r="2809" spans="9:11" x14ac:dyDescent="0.25">
      <c r="I2809" s="86">
        <v>2808</v>
      </c>
      <c r="J2809" s="87">
        <v>2.6449904994148774</v>
      </c>
      <c r="K2809" s="87">
        <v>7.3552229810875662</v>
      </c>
    </row>
    <row r="2810" spans="9:11" x14ac:dyDescent="0.25">
      <c r="I2810" s="86">
        <v>2809</v>
      </c>
      <c r="J2810" s="87">
        <v>-0.94325487483955461</v>
      </c>
      <c r="K2810" s="87">
        <v>4.4896302509574646</v>
      </c>
    </row>
    <row r="2811" spans="9:11" x14ac:dyDescent="0.25">
      <c r="I2811" s="86">
        <v>2810</v>
      </c>
      <c r="J2811" s="87">
        <v>0.96093989318119899</v>
      </c>
      <c r="K2811" s="87">
        <v>7.3476170527019047</v>
      </c>
    </row>
    <row r="2812" spans="9:11" x14ac:dyDescent="0.25">
      <c r="I2812" s="86">
        <v>2811</v>
      </c>
      <c r="J2812" s="87">
        <v>1.7029993839464703</v>
      </c>
      <c r="K2812" s="87">
        <v>7.2500790953795242</v>
      </c>
    </row>
    <row r="2813" spans="9:11" x14ac:dyDescent="0.25">
      <c r="I2813" s="86">
        <v>2812</v>
      </c>
      <c r="J2813" s="87">
        <v>2.1282832444039865</v>
      </c>
      <c r="K2813" s="87">
        <v>6.4228072965508574</v>
      </c>
    </row>
    <row r="2814" spans="9:11" x14ac:dyDescent="0.25">
      <c r="I2814" s="86">
        <v>2813</v>
      </c>
      <c r="J2814" s="87">
        <v>1.3896379384605995</v>
      </c>
      <c r="K2814" s="87">
        <v>7.1137940013796301</v>
      </c>
    </row>
    <row r="2815" spans="9:11" x14ac:dyDescent="0.25">
      <c r="I2815" s="86">
        <v>2814</v>
      </c>
      <c r="J2815" s="87">
        <v>3.2177732167684416</v>
      </c>
      <c r="K2815" s="87">
        <v>6.640912231264374</v>
      </c>
    </row>
    <row r="2816" spans="9:11" x14ac:dyDescent="0.25">
      <c r="I2816" s="86">
        <v>2815</v>
      </c>
      <c r="J2816" s="87">
        <v>4.7164788061604828</v>
      </c>
      <c r="K2816" s="87">
        <v>10.334340392345567</v>
      </c>
    </row>
    <row r="2817" spans="9:11" x14ac:dyDescent="0.25">
      <c r="I2817" s="86">
        <v>2816</v>
      </c>
      <c r="J2817" s="87">
        <v>7.1248229176405626</v>
      </c>
      <c r="K2817" s="87">
        <v>10.649943595933184</v>
      </c>
    </row>
    <row r="2818" spans="9:11" x14ac:dyDescent="0.25">
      <c r="I2818" s="86">
        <v>2817</v>
      </c>
      <c r="J2818" s="87">
        <v>0.9054751821831859</v>
      </c>
      <c r="K2818" s="87">
        <v>6.3468814377247007</v>
      </c>
    </row>
    <row r="2819" spans="9:11" x14ac:dyDescent="0.25">
      <c r="I2819" s="86">
        <v>2818</v>
      </c>
      <c r="J2819" s="87">
        <v>0.43022453263499028</v>
      </c>
      <c r="K2819" s="87">
        <v>6.3228167180626063</v>
      </c>
    </row>
    <row r="2820" spans="9:11" x14ac:dyDescent="0.25">
      <c r="I2820" s="86">
        <v>2819</v>
      </c>
      <c r="J2820" s="87">
        <v>6.37900297729926</v>
      </c>
      <c r="K2820" s="87">
        <v>9.3033423539220177</v>
      </c>
    </row>
    <row r="2821" spans="9:11" x14ac:dyDescent="0.25">
      <c r="I2821" s="86">
        <v>2820</v>
      </c>
      <c r="J2821" s="87">
        <v>0.10289674502942336</v>
      </c>
      <c r="K2821" s="87">
        <v>4.3873124448251604</v>
      </c>
    </row>
    <row r="2822" spans="9:11" x14ac:dyDescent="0.25">
      <c r="I2822" s="86">
        <v>2821</v>
      </c>
      <c r="J2822" s="87">
        <v>5.4342890967802138</v>
      </c>
      <c r="K2822" s="87">
        <v>9.6202798077414631</v>
      </c>
    </row>
    <row r="2823" spans="9:11" x14ac:dyDescent="0.25">
      <c r="I2823" s="86">
        <v>2822</v>
      </c>
      <c r="J2823" s="87">
        <v>3.1435045866760243</v>
      </c>
      <c r="K2823" s="87">
        <v>7.8199400462546045</v>
      </c>
    </row>
    <row r="2824" spans="9:11" x14ac:dyDescent="0.25">
      <c r="I2824" s="86">
        <v>2823</v>
      </c>
      <c r="J2824" s="87">
        <v>2.8656446622034135</v>
      </c>
      <c r="K2824" s="87">
        <v>8.4943338331236173</v>
      </c>
    </row>
    <row r="2825" spans="9:11" x14ac:dyDescent="0.25">
      <c r="I2825" s="86">
        <v>2824</v>
      </c>
      <c r="J2825" s="87">
        <v>1.7856388719412788</v>
      </c>
      <c r="K2825" s="87">
        <v>6.6193265053844055</v>
      </c>
    </row>
    <row r="2826" spans="9:11" x14ac:dyDescent="0.25">
      <c r="I2826" s="86">
        <v>2825</v>
      </c>
      <c r="J2826" s="87">
        <v>1.9476428164096626</v>
      </c>
      <c r="K2826" s="87">
        <v>6.282290543229311</v>
      </c>
    </row>
    <row r="2827" spans="9:11" x14ac:dyDescent="0.25">
      <c r="I2827" s="86">
        <v>2826</v>
      </c>
      <c r="J2827" s="87">
        <v>-9.1074994388828934E-2</v>
      </c>
      <c r="K2827" s="87">
        <v>4.9893856828397336</v>
      </c>
    </row>
    <row r="2828" spans="9:11" x14ac:dyDescent="0.25">
      <c r="I2828" s="86">
        <v>2827</v>
      </c>
      <c r="J2828" s="87">
        <v>-0.33662550565223093</v>
      </c>
      <c r="K2828" s="87">
        <v>5.8431775852244972</v>
      </c>
    </row>
    <row r="2829" spans="9:11" x14ac:dyDescent="0.25">
      <c r="I2829" s="86">
        <v>2828</v>
      </c>
      <c r="J2829" s="87">
        <v>1.6709094605742845</v>
      </c>
      <c r="K2829" s="87">
        <v>6.7963553380396196</v>
      </c>
    </row>
    <row r="2830" spans="9:11" x14ac:dyDescent="0.25">
      <c r="I2830" s="86">
        <v>2829</v>
      </c>
      <c r="J2830" s="87">
        <v>2.0076739212490269</v>
      </c>
      <c r="K2830" s="87">
        <v>6.8719822417178422</v>
      </c>
    </row>
    <row r="2831" spans="9:11" x14ac:dyDescent="0.25">
      <c r="I2831" s="86">
        <v>2830</v>
      </c>
      <c r="J2831" s="87">
        <v>1.9594853311019689</v>
      </c>
      <c r="K2831" s="87">
        <v>6.4435521688523476</v>
      </c>
    </row>
    <row r="2832" spans="9:11" x14ac:dyDescent="0.25">
      <c r="I2832" s="86">
        <v>2831</v>
      </c>
      <c r="J2832" s="87">
        <v>1.9444176492963861</v>
      </c>
      <c r="K2832" s="87">
        <v>9.6918646874833527</v>
      </c>
    </row>
    <row r="2833" spans="9:11" x14ac:dyDescent="0.25">
      <c r="I2833" s="86">
        <v>2832</v>
      </c>
      <c r="J2833" s="87">
        <v>2.314884491861589</v>
      </c>
      <c r="K2833" s="87">
        <v>6.4459469120514559</v>
      </c>
    </row>
    <row r="2834" spans="9:11" x14ac:dyDescent="0.25">
      <c r="I2834" s="86">
        <v>2833</v>
      </c>
      <c r="J2834" s="87">
        <v>2.4496006128544208</v>
      </c>
      <c r="K2834" s="87">
        <v>7.2592398456356886</v>
      </c>
    </row>
    <row r="2835" spans="9:11" x14ac:dyDescent="0.25">
      <c r="I2835" s="86">
        <v>2834</v>
      </c>
      <c r="J2835" s="87">
        <v>2.2337135276550013</v>
      </c>
      <c r="K2835" s="87">
        <v>8.1920133958923138</v>
      </c>
    </row>
    <row r="2836" spans="9:11" x14ac:dyDescent="0.25">
      <c r="I2836" s="86">
        <v>2835</v>
      </c>
      <c r="J2836" s="87">
        <v>3.7154525026856096</v>
      </c>
      <c r="K2836" s="87">
        <v>7.2678512987189618</v>
      </c>
    </row>
    <row r="2837" spans="9:11" x14ac:dyDescent="0.25">
      <c r="I2837" s="86">
        <v>2836</v>
      </c>
      <c r="J2837" s="87">
        <v>1.1633444361838796</v>
      </c>
      <c r="K2837" s="87">
        <v>6.971045861687311</v>
      </c>
    </row>
    <row r="2838" spans="9:11" x14ac:dyDescent="0.25">
      <c r="I2838" s="86">
        <v>2837</v>
      </c>
      <c r="J2838" s="87">
        <v>0.14608182218356758</v>
      </c>
      <c r="K2838" s="87">
        <v>4.7658063646656466</v>
      </c>
    </row>
    <row r="2839" spans="9:11" x14ac:dyDescent="0.25">
      <c r="I2839" s="86">
        <v>2838</v>
      </c>
      <c r="J2839" s="87">
        <v>2.6017491891682392</v>
      </c>
      <c r="K2839" s="87">
        <v>9.146966678028722</v>
      </c>
    </row>
    <row r="2840" spans="9:11" x14ac:dyDescent="0.25">
      <c r="I2840" s="86">
        <v>2839</v>
      </c>
      <c r="J2840" s="87">
        <v>0.52987692188775082</v>
      </c>
      <c r="K2840" s="87">
        <v>7.6021025834310967</v>
      </c>
    </row>
    <row r="2841" spans="9:11" x14ac:dyDescent="0.25">
      <c r="I2841" s="86">
        <v>2840</v>
      </c>
      <c r="J2841" s="87">
        <v>3.11998335618489</v>
      </c>
      <c r="K2841" s="87">
        <v>9.0086738123196337</v>
      </c>
    </row>
    <row r="2842" spans="9:11" x14ac:dyDescent="0.25">
      <c r="I2842" s="86">
        <v>2841</v>
      </c>
      <c r="J2842" s="87">
        <v>-1.3352923869441211</v>
      </c>
      <c r="K2842" s="87">
        <v>4.5915764968646089</v>
      </c>
    </row>
    <row r="2843" spans="9:11" x14ac:dyDescent="0.25">
      <c r="I2843" s="86">
        <v>2842</v>
      </c>
      <c r="J2843" s="87">
        <v>1.0891601270535425</v>
      </c>
      <c r="K2843" s="87">
        <v>5.7886600495836964</v>
      </c>
    </row>
    <row r="2844" spans="9:11" x14ac:dyDescent="0.25">
      <c r="I2844" s="86">
        <v>2843</v>
      </c>
      <c r="J2844" s="87">
        <v>-2.2382584340527867</v>
      </c>
      <c r="K2844" s="87">
        <v>5.3907774367716437</v>
      </c>
    </row>
    <row r="2845" spans="9:11" x14ac:dyDescent="0.25">
      <c r="I2845" s="86">
        <v>2844</v>
      </c>
      <c r="J2845" s="87">
        <v>0.37502721735420952</v>
      </c>
      <c r="K2845" s="87">
        <v>5.3226985318096984</v>
      </c>
    </row>
    <row r="2846" spans="9:11" x14ac:dyDescent="0.25">
      <c r="I2846" s="86">
        <v>2845</v>
      </c>
      <c r="J2846" s="87">
        <v>1.162188165858737</v>
      </c>
      <c r="K2846" s="87">
        <v>5.4284191339215342</v>
      </c>
    </row>
    <row r="2847" spans="9:11" x14ac:dyDescent="0.25">
      <c r="I2847" s="86">
        <v>2846</v>
      </c>
      <c r="J2847" s="87">
        <v>0.52418039327037835</v>
      </c>
      <c r="K2847" s="87">
        <v>6.0202978442480131</v>
      </c>
    </row>
    <row r="2848" spans="9:11" x14ac:dyDescent="0.25">
      <c r="I2848" s="86">
        <v>2847</v>
      </c>
      <c r="J2848" s="87">
        <v>2.495123432475026</v>
      </c>
      <c r="K2848" s="87">
        <v>7.2673765582176832</v>
      </c>
    </row>
    <row r="2849" spans="9:11" x14ac:dyDescent="0.25">
      <c r="I2849" s="86">
        <v>2848</v>
      </c>
      <c r="J2849" s="87">
        <v>1.8620557504659443</v>
      </c>
      <c r="K2849" s="87">
        <v>7.9750773131980139</v>
      </c>
    </row>
    <row r="2850" spans="9:11" x14ac:dyDescent="0.25">
      <c r="I2850" s="86">
        <v>2849</v>
      </c>
      <c r="J2850" s="87">
        <v>1.4207810952380875</v>
      </c>
      <c r="K2850" s="87">
        <v>6.0487432871037239</v>
      </c>
    </row>
    <row r="2851" spans="9:11" x14ac:dyDescent="0.25">
      <c r="I2851" s="86">
        <v>2850</v>
      </c>
      <c r="J2851" s="87">
        <v>0.79781249198132542</v>
      </c>
      <c r="K2851" s="87">
        <v>6.2286514947650549</v>
      </c>
    </row>
    <row r="2852" spans="9:11" x14ac:dyDescent="0.25">
      <c r="I2852" s="86">
        <v>2851</v>
      </c>
      <c r="J2852" s="87">
        <v>2.2030592556816586</v>
      </c>
      <c r="K2852" s="87">
        <v>6.1606240854261154</v>
      </c>
    </row>
    <row r="2853" spans="9:11" x14ac:dyDescent="0.25">
      <c r="I2853" s="86">
        <v>2852</v>
      </c>
      <c r="J2853" s="87">
        <v>3.1958821258837027</v>
      </c>
      <c r="K2853" s="87">
        <v>6.916050470033106</v>
      </c>
    </row>
    <row r="2854" spans="9:11" x14ac:dyDescent="0.25">
      <c r="I2854" s="86">
        <v>2853</v>
      </c>
      <c r="J2854" s="87">
        <v>1.4262649312543543</v>
      </c>
      <c r="K2854" s="87">
        <v>6.5250979583473674</v>
      </c>
    </row>
    <row r="2855" spans="9:11" x14ac:dyDescent="0.25">
      <c r="I2855" s="86">
        <v>2854</v>
      </c>
      <c r="J2855" s="87">
        <v>-0.38526504938631145</v>
      </c>
      <c r="K2855" s="87">
        <v>6.4841601679392182</v>
      </c>
    </row>
    <row r="2856" spans="9:11" x14ac:dyDescent="0.25">
      <c r="I2856" s="86">
        <v>2855</v>
      </c>
      <c r="J2856" s="87">
        <v>2.0910124146056015</v>
      </c>
      <c r="K2856" s="87">
        <v>5.9865637395226594</v>
      </c>
    </row>
    <row r="2857" spans="9:11" x14ac:dyDescent="0.25">
      <c r="I2857" s="86">
        <v>2856</v>
      </c>
      <c r="J2857" s="87">
        <v>1.8297124323764926</v>
      </c>
      <c r="K2857" s="87">
        <v>5.5712978910516044</v>
      </c>
    </row>
    <row r="2858" spans="9:11" x14ac:dyDescent="0.25">
      <c r="I2858" s="86">
        <v>2857</v>
      </c>
      <c r="J2858" s="87">
        <v>2.6375425375129042</v>
      </c>
      <c r="K2858" s="87">
        <v>7.0663851893509451</v>
      </c>
    </row>
    <row r="2859" spans="9:11" x14ac:dyDescent="0.25">
      <c r="I2859" s="86">
        <v>2858</v>
      </c>
      <c r="J2859" s="87">
        <v>-0.53158021653095489</v>
      </c>
      <c r="K2859" s="87">
        <v>4.936936095787229</v>
      </c>
    </row>
    <row r="2860" spans="9:11" x14ac:dyDescent="0.25">
      <c r="I2860" s="86">
        <v>2859</v>
      </c>
      <c r="J2860" s="87">
        <v>2.9476381215486107</v>
      </c>
      <c r="K2860" s="87">
        <v>6.3146545756936217</v>
      </c>
    </row>
    <row r="2861" spans="9:11" x14ac:dyDescent="0.25">
      <c r="I2861" s="86">
        <v>2860</v>
      </c>
      <c r="J2861" s="87">
        <v>3.4222970147949727</v>
      </c>
      <c r="K2861" s="87">
        <v>8.6993430157096245</v>
      </c>
    </row>
    <row r="2862" spans="9:11" x14ac:dyDescent="0.25">
      <c r="I2862" s="86">
        <v>2861</v>
      </c>
      <c r="J2862" s="87">
        <v>2.5402944175690045</v>
      </c>
      <c r="K2862" s="87">
        <v>9.5627734006345495</v>
      </c>
    </row>
    <row r="2863" spans="9:11" x14ac:dyDescent="0.25">
      <c r="I2863" s="86">
        <v>2862</v>
      </c>
      <c r="J2863" s="87">
        <v>0.74595035955077105</v>
      </c>
      <c r="K2863" s="87">
        <v>6.1059107613764354</v>
      </c>
    </row>
    <row r="2864" spans="9:11" x14ac:dyDescent="0.25">
      <c r="I2864" s="86">
        <v>2863</v>
      </c>
      <c r="J2864" s="87">
        <v>12.232968225153044</v>
      </c>
      <c r="K2864" s="87">
        <v>14.365137620688232</v>
      </c>
    </row>
    <row r="2865" spans="9:11" x14ac:dyDescent="0.25">
      <c r="I2865" s="86">
        <v>2864</v>
      </c>
      <c r="J2865" s="87">
        <v>1.3188202723630007</v>
      </c>
      <c r="K2865" s="87">
        <v>5.9698905006892957</v>
      </c>
    </row>
    <row r="2866" spans="9:11" x14ac:dyDescent="0.25">
      <c r="I2866" s="86">
        <v>2865</v>
      </c>
      <c r="J2866" s="87">
        <v>-0.57153971841644857</v>
      </c>
      <c r="K2866" s="87">
        <v>4.5325587483282961</v>
      </c>
    </row>
    <row r="2867" spans="9:11" x14ac:dyDescent="0.25">
      <c r="I2867" s="86">
        <v>2866</v>
      </c>
      <c r="J2867" s="87">
        <v>0.37262601789371885</v>
      </c>
      <c r="K2867" s="87">
        <v>6.6721751427211275</v>
      </c>
    </row>
    <row r="2868" spans="9:11" x14ac:dyDescent="0.25">
      <c r="I2868" s="86">
        <v>2867</v>
      </c>
      <c r="J2868" s="87">
        <v>2.5314477309490364</v>
      </c>
      <c r="K2868" s="87">
        <v>9.5442109870571805</v>
      </c>
    </row>
    <row r="2869" spans="9:11" x14ac:dyDescent="0.25">
      <c r="I2869" s="86">
        <v>2868</v>
      </c>
      <c r="J2869" s="87">
        <v>1.3304523414351817</v>
      </c>
      <c r="K2869" s="87">
        <v>5.432621924203743</v>
      </c>
    </row>
    <row r="2870" spans="9:11" x14ac:dyDescent="0.25">
      <c r="I2870" s="86">
        <v>2869</v>
      </c>
      <c r="J2870" s="87">
        <v>4.2585900599123772</v>
      </c>
      <c r="K2870" s="87">
        <v>8.6281726487326864</v>
      </c>
    </row>
    <row r="2871" spans="9:11" x14ac:dyDescent="0.25">
      <c r="I2871" s="86">
        <v>2870</v>
      </c>
      <c r="J2871" s="87">
        <v>-0.17144029336482669</v>
      </c>
      <c r="K2871" s="87">
        <v>4.3768465519154889</v>
      </c>
    </row>
    <row r="2872" spans="9:11" x14ac:dyDescent="0.25">
      <c r="I2872" s="86">
        <v>2871</v>
      </c>
      <c r="J2872" s="87">
        <v>2.6330100419469478</v>
      </c>
      <c r="K2872" s="87">
        <v>6.1406952024841326</v>
      </c>
    </row>
    <row r="2873" spans="9:11" x14ac:dyDescent="0.25">
      <c r="I2873" s="86">
        <v>2872</v>
      </c>
      <c r="J2873" s="87">
        <v>-1.1566404678961248</v>
      </c>
      <c r="K2873" s="87">
        <v>4.9344434854989725</v>
      </c>
    </row>
    <row r="2874" spans="9:11" x14ac:dyDescent="0.25">
      <c r="I2874" s="86">
        <v>2873</v>
      </c>
      <c r="J2874" s="87">
        <v>4.191050908203902</v>
      </c>
      <c r="K2874" s="87">
        <v>7.9873963300558337</v>
      </c>
    </row>
    <row r="2875" spans="9:11" x14ac:dyDescent="0.25">
      <c r="I2875" s="86">
        <v>2874</v>
      </c>
      <c r="J2875" s="87">
        <v>1.9199555093992737</v>
      </c>
      <c r="K2875" s="87">
        <v>8.5275517037655248</v>
      </c>
    </row>
    <row r="2876" spans="9:11" x14ac:dyDescent="0.25">
      <c r="I2876" s="86">
        <v>2875</v>
      </c>
      <c r="J2876" s="87">
        <v>1.9495470245946045</v>
      </c>
      <c r="K2876" s="87">
        <v>5.4287486547212742</v>
      </c>
    </row>
    <row r="2877" spans="9:11" x14ac:dyDescent="0.25">
      <c r="I2877" s="86">
        <v>2876</v>
      </c>
      <c r="J2877" s="87">
        <v>1.9658519809240902</v>
      </c>
      <c r="K2877" s="87">
        <v>7.2168741130600145</v>
      </c>
    </row>
    <row r="2878" spans="9:11" x14ac:dyDescent="0.25">
      <c r="I2878" s="86">
        <v>2877</v>
      </c>
      <c r="J2878" s="87">
        <v>3.4156632823233304</v>
      </c>
      <c r="K2878" s="87">
        <v>8.8177201817018815</v>
      </c>
    </row>
    <row r="2879" spans="9:11" x14ac:dyDescent="0.25">
      <c r="I2879" s="86">
        <v>2878</v>
      </c>
      <c r="J2879" s="87">
        <v>-1.1238807851660573</v>
      </c>
      <c r="K2879" s="87">
        <v>6.2641573548183587</v>
      </c>
    </row>
    <row r="2880" spans="9:11" x14ac:dyDescent="0.25">
      <c r="I2880" s="86">
        <v>2879</v>
      </c>
      <c r="J2880" s="87">
        <v>2.3375628597525075</v>
      </c>
      <c r="K2880" s="87">
        <v>6.0702473813382927</v>
      </c>
    </row>
    <row r="2881" spans="9:11" x14ac:dyDescent="0.25">
      <c r="I2881" s="86">
        <v>2880</v>
      </c>
      <c r="J2881" s="87">
        <v>7.2040674906337472</v>
      </c>
      <c r="K2881" s="87">
        <v>10.037333138299887</v>
      </c>
    </row>
    <row r="2882" spans="9:11" x14ac:dyDescent="0.25">
      <c r="I2882" s="86">
        <v>2881</v>
      </c>
      <c r="J2882" s="87">
        <v>1.2048661618763727</v>
      </c>
      <c r="K2882" s="87">
        <v>6.1785295662959516</v>
      </c>
    </row>
    <row r="2883" spans="9:11" x14ac:dyDescent="0.25">
      <c r="I2883" s="86">
        <v>2882</v>
      </c>
      <c r="J2883" s="87">
        <v>-1.1058250319453773</v>
      </c>
      <c r="K2883" s="87">
        <v>4.8355599797792976</v>
      </c>
    </row>
    <row r="2884" spans="9:11" x14ac:dyDescent="0.25">
      <c r="I2884" s="86">
        <v>2883</v>
      </c>
      <c r="J2884" s="87">
        <v>1.1001926411750822</v>
      </c>
      <c r="K2884" s="87">
        <v>5.3274715110900299</v>
      </c>
    </row>
    <row r="2885" spans="9:11" x14ac:dyDescent="0.25">
      <c r="I2885" s="86">
        <v>2884</v>
      </c>
      <c r="J2885" s="87">
        <v>-0.29892431176005196</v>
      </c>
      <c r="K2885" s="87">
        <v>6.0675186383879147</v>
      </c>
    </row>
    <row r="2886" spans="9:11" x14ac:dyDescent="0.25">
      <c r="I2886" s="86">
        <v>2885</v>
      </c>
      <c r="J2886" s="87">
        <v>-0.10590249084896008</v>
      </c>
      <c r="K2886" s="87">
        <v>6.1162026647709862</v>
      </c>
    </row>
    <row r="2887" spans="9:11" x14ac:dyDescent="0.25">
      <c r="I2887" s="86">
        <v>2886</v>
      </c>
      <c r="J2887" s="87">
        <v>0.64370655965847234</v>
      </c>
      <c r="K2887" s="87">
        <v>6.0045037672749562</v>
      </c>
    </row>
    <row r="2888" spans="9:11" x14ac:dyDescent="0.25">
      <c r="I2888" s="86">
        <v>2887</v>
      </c>
      <c r="J2888" s="87">
        <v>0.55592094979659334</v>
      </c>
      <c r="K2888" s="87">
        <v>5.0868665450776307</v>
      </c>
    </row>
    <row r="2889" spans="9:11" x14ac:dyDescent="0.25">
      <c r="I2889" s="86">
        <v>2888</v>
      </c>
      <c r="J2889" s="87">
        <v>2.2779441635736148</v>
      </c>
      <c r="K2889" s="87">
        <v>8.0564804836458013</v>
      </c>
    </row>
    <row r="2890" spans="9:11" x14ac:dyDescent="0.25">
      <c r="I2890" s="86">
        <v>2889</v>
      </c>
      <c r="J2890" s="87">
        <v>6.7246232970868434</v>
      </c>
      <c r="K2890" s="87">
        <v>11.680188360210089</v>
      </c>
    </row>
    <row r="2891" spans="9:11" x14ac:dyDescent="0.25">
      <c r="I2891" s="86">
        <v>2890</v>
      </c>
      <c r="J2891" s="87">
        <v>1.2190509915207906</v>
      </c>
      <c r="K2891" s="87">
        <v>5.1237427595032825</v>
      </c>
    </row>
    <row r="2892" spans="9:11" x14ac:dyDescent="0.25">
      <c r="I2892" s="86">
        <v>2891</v>
      </c>
      <c r="J2892" s="87">
        <v>3.0975002143472654</v>
      </c>
      <c r="K2892" s="87">
        <v>6.7738661825048601</v>
      </c>
    </row>
    <row r="2893" spans="9:11" x14ac:dyDescent="0.25">
      <c r="I2893" s="86">
        <v>2892</v>
      </c>
      <c r="J2893" s="87">
        <v>-0.41246647062484953</v>
      </c>
      <c r="K2893" s="87">
        <v>4.460416803262035</v>
      </c>
    </row>
    <row r="2894" spans="9:11" x14ac:dyDescent="0.25">
      <c r="I2894" s="86">
        <v>2893</v>
      </c>
      <c r="J2894" s="87">
        <v>0.16810032555965115</v>
      </c>
      <c r="K2894" s="87">
        <v>6.55803301716647</v>
      </c>
    </row>
    <row r="2895" spans="9:11" x14ac:dyDescent="0.25">
      <c r="I2895" s="86">
        <v>2894</v>
      </c>
      <c r="J2895" s="87">
        <v>0.480877805634778</v>
      </c>
      <c r="K2895" s="87">
        <v>5.6733557821609004</v>
      </c>
    </row>
    <row r="2896" spans="9:11" x14ac:dyDescent="0.25">
      <c r="I2896" s="86">
        <v>2895</v>
      </c>
      <c r="J2896" s="87">
        <v>0.1621316049974606</v>
      </c>
      <c r="K2896" s="87">
        <v>7.7096379768479837</v>
      </c>
    </row>
    <row r="2897" spans="9:11" x14ac:dyDescent="0.25">
      <c r="I2897" s="86">
        <v>2896</v>
      </c>
      <c r="J2897" s="87">
        <v>5.6173875742923549</v>
      </c>
      <c r="K2897" s="87">
        <v>11.234775526582929</v>
      </c>
    </row>
    <row r="2898" spans="9:11" x14ac:dyDescent="0.25">
      <c r="I2898" s="86">
        <v>2897</v>
      </c>
      <c r="J2898" s="87">
        <v>1.8739065835705455</v>
      </c>
      <c r="K2898" s="87">
        <v>5.7523091511433826</v>
      </c>
    </row>
    <row r="2899" spans="9:11" x14ac:dyDescent="0.25">
      <c r="I2899" s="86">
        <v>2898</v>
      </c>
      <c r="J2899" s="87">
        <v>0.89844949625118753</v>
      </c>
      <c r="K2899" s="87">
        <v>5.8719454540033205</v>
      </c>
    </row>
    <row r="2900" spans="9:11" x14ac:dyDescent="0.25">
      <c r="I2900" s="86">
        <v>2899</v>
      </c>
      <c r="J2900" s="87">
        <v>2.6201774397565458</v>
      </c>
      <c r="K2900" s="87">
        <v>8.0814615334193096</v>
      </c>
    </row>
    <row r="2901" spans="9:11" x14ac:dyDescent="0.25">
      <c r="I2901" s="86">
        <v>2900</v>
      </c>
      <c r="J2901" s="87">
        <v>2.3368965921614944</v>
      </c>
      <c r="K2901" s="87">
        <v>7.8580866557156055</v>
      </c>
    </row>
    <row r="2902" spans="9:11" x14ac:dyDescent="0.25">
      <c r="I2902" s="86">
        <v>2901</v>
      </c>
      <c r="J2902" s="87">
        <v>1.1394586765249755</v>
      </c>
      <c r="K2902" s="87">
        <v>5.857519644285075</v>
      </c>
    </row>
    <row r="2903" spans="9:11" x14ac:dyDescent="0.25">
      <c r="I2903" s="86">
        <v>2902</v>
      </c>
      <c r="J2903" s="87">
        <v>2.3441934370707873</v>
      </c>
      <c r="K2903" s="87">
        <v>7.5625067039750213</v>
      </c>
    </row>
    <row r="2904" spans="9:11" x14ac:dyDescent="0.25">
      <c r="I2904" s="86">
        <v>2903</v>
      </c>
      <c r="J2904" s="87">
        <v>2.090498080024612</v>
      </c>
      <c r="K2904" s="87">
        <v>6.98417342430555</v>
      </c>
    </row>
    <row r="2905" spans="9:11" x14ac:dyDescent="0.25">
      <c r="I2905" s="86">
        <v>2904</v>
      </c>
      <c r="J2905" s="87">
        <v>2.187014289314523</v>
      </c>
      <c r="K2905" s="87">
        <v>6.1781012250835374</v>
      </c>
    </row>
    <row r="2906" spans="9:11" x14ac:dyDescent="0.25">
      <c r="I2906" s="86">
        <v>2905</v>
      </c>
      <c r="J2906" s="87">
        <v>5.6935715045225912</v>
      </c>
      <c r="K2906" s="87">
        <v>10.293372275229823</v>
      </c>
    </row>
    <row r="2907" spans="9:11" x14ac:dyDescent="0.25">
      <c r="I2907" s="86">
        <v>2906</v>
      </c>
      <c r="J2907" s="87">
        <v>0.18092061622379241</v>
      </c>
      <c r="K2907" s="87">
        <v>6.0765210590790044</v>
      </c>
    </row>
    <row r="2908" spans="9:11" x14ac:dyDescent="0.25">
      <c r="I2908" s="86">
        <v>2907</v>
      </c>
      <c r="J2908" s="87">
        <v>0.5461779112625349</v>
      </c>
      <c r="K2908" s="87">
        <v>6.8832596464244915</v>
      </c>
    </row>
    <row r="2909" spans="9:11" x14ac:dyDescent="0.25">
      <c r="I2909" s="86">
        <v>2908</v>
      </c>
      <c r="J2909" s="87">
        <v>0.83035651768772478</v>
      </c>
      <c r="K2909" s="87">
        <v>6.9849796004883133</v>
      </c>
    </row>
    <row r="2910" spans="9:11" x14ac:dyDescent="0.25">
      <c r="I2910" s="86">
        <v>2909</v>
      </c>
      <c r="J2910" s="87">
        <v>-0.70935220393378984</v>
      </c>
      <c r="K2910" s="87">
        <v>6.74540241264069</v>
      </c>
    </row>
    <row r="2911" spans="9:11" x14ac:dyDescent="0.25">
      <c r="I2911" s="86">
        <v>2910</v>
      </c>
      <c r="J2911" s="87">
        <v>0.92257654926266408</v>
      </c>
      <c r="K2911" s="87">
        <v>6.1871551276822734</v>
      </c>
    </row>
    <row r="2912" spans="9:11" x14ac:dyDescent="0.25">
      <c r="I2912" s="86">
        <v>2911</v>
      </c>
      <c r="J2912" s="87">
        <v>2.5321852969748857</v>
      </c>
      <c r="K2912" s="87">
        <v>6.1459999638500413</v>
      </c>
    </row>
    <row r="2913" spans="9:11" x14ac:dyDescent="0.25">
      <c r="I2913" s="86">
        <v>2912</v>
      </c>
      <c r="J2913" s="87">
        <v>1.6533403386116854</v>
      </c>
      <c r="K2913" s="87">
        <v>6.0672781882169975</v>
      </c>
    </row>
    <row r="2914" spans="9:11" x14ac:dyDescent="0.25">
      <c r="I2914" s="86">
        <v>2913</v>
      </c>
      <c r="J2914" s="87">
        <v>2.5535047686823642</v>
      </c>
      <c r="K2914" s="87">
        <v>6.4305323795118037</v>
      </c>
    </row>
    <row r="2915" spans="9:11" x14ac:dyDescent="0.25">
      <c r="I2915" s="86">
        <v>2914</v>
      </c>
      <c r="J2915" s="87">
        <v>1.7501021710171907</v>
      </c>
      <c r="K2915" s="87">
        <v>5.3349185559537151</v>
      </c>
    </row>
    <row r="2916" spans="9:11" x14ac:dyDescent="0.25">
      <c r="I2916" s="86">
        <v>2915</v>
      </c>
      <c r="J2916" s="87">
        <v>4.4208738814047042</v>
      </c>
      <c r="K2916" s="87">
        <v>10.380240371899248</v>
      </c>
    </row>
    <row r="2917" spans="9:11" x14ac:dyDescent="0.25">
      <c r="I2917" s="86">
        <v>2916</v>
      </c>
      <c r="J2917" s="87">
        <v>0.91935866521548171</v>
      </c>
      <c r="K2917" s="87">
        <v>7.7839868314924914</v>
      </c>
    </row>
    <row r="2918" spans="9:11" x14ac:dyDescent="0.25">
      <c r="I2918" s="86">
        <v>2917</v>
      </c>
      <c r="J2918" s="87">
        <v>2.4302637735833938</v>
      </c>
      <c r="K2918" s="87">
        <v>6.4939514246742487</v>
      </c>
    </row>
    <row r="2919" spans="9:11" x14ac:dyDescent="0.25">
      <c r="I2919" s="86">
        <v>2918</v>
      </c>
      <c r="J2919" s="87">
        <v>1.3732070526535303</v>
      </c>
      <c r="K2919" s="87">
        <v>6.1564124569708545</v>
      </c>
    </row>
    <row r="2920" spans="9:11" x14ac:dyDescent="0.25">
      <c r="I2920" s="86">
        <v>2919</v>
      </c>
      <c r="J2920" s="87">
        <v>2.9463970148478076</v>
      </c>
      <c r="K2920" s="87">
        <v>7.6128174891202685</v>
      </c>
    </row>
    <row r="2921" spans="9:11" x14ac:dyDescent="0.25">
      <c r="I2921" s="86">
        <v>2920</v>
      </c>
      <c r="J2921" s="87">
        <v>-0.56190917961305775</v>
      </c>
      <c r="K2921" s="87">
        <v>4.1677585804952733</v>
      </c>
    </row>
    <row r="2922" spans="9:11" x14ac:dyDescent="0.25">
      <c r="I2922" s="86">
        <v>2921</v>
      </c>
      <c r="J2922" s="87">
        <v>1.6268129747389293</v>
      </c>
      <c r="K2922" s="87">
        <v>5.0158653592713129</v>
      </c>
    </row>
    <row r="2923" spans="9:11" x14ac:dyDescent="0.25">
      <c r="I2923" s="86">
        <v>2922</v>
      </c>
      <c r="J2923" s="87">
        <v>1.2580208871138048</v>
      </c>
      <c r="K2923" s="87">
        <v>7.4648892839585521</v>
      </c>
    </row>
    <row r="2924" spans="9:11" x14ac:dyDescent="0.25">
      <c r="I2924" s="86">
        <v>2923</v>
      </c>
      <c r="J2924" s="87">
        <v>2.5442283992923844</v>
      </c>
      <c r="K2924" s="87">
        <v>9.4280279546986332</v>
      </c>
    </row>
    <row r="2925" spans="9:11" x14ac:dyDescent="0.25">
      <c r="I2925" s="86">
        <v>2924</v>
      </c>
      <c r="J2925" s="87">
        <v>2.6891858163657849</v>
      </c>
      <c r="K2925" s="87">
        <v>9.7031521695159384</v>
      </c>
    </row>
    <row r="2926" spans="9:11" x14ac:dyDescent="0.25">
      <c r="I2926" s="86">
        <v>2925</v>
      </c>
      <c r="J2926" s="87">
        <v>6.6471918554727303</v>
      </c>
      <c r="K2926" s="87">
        <v>10.405215401898317</v>
      </c>
    </row>
    <row r="2927" spans="9:11" x14ac:dyDescent="0.25">
      <c r="I2927" s="86">
        <v>2926</v>
      </c>
      <c r="J2927" s="87">
        <v>1.7671711076241134</v>
      </c>
      <c r="K2927" s="87">
        <v>9.1840089370355411</v>
      </c>
    </row>
    <row r="2928" spans="9:11" x14ac:dyDescent="0.25">
      <c r="I2928" s="86">
        <v>2927</v>
      </c>
      <c r="J2928" s="87">
        <v>1.5316744250586494</v>
      </c>
      <c r="K2928" s="87">
        <v>5.8298748417252426</v>
      </c>
    </row>
    <row r="2929" spans="9:11" x14ac:dyDescent="0.25">
      <c r="I2929" s="86">
        <v>2928</v>
      </c>
      <c r="J2929" s="87">
        <v>2.1216702601135866</v>
      </c>
      <c r="K2929" s="87">
        <v>7.4393564723996741</v>
      </c>
    </row>
    <row r="2930" spans="9:11" x14ac:dyDescent="0.25">
      <c r="I2930" s="86">
        <v>2929</v>
      </c>
      <c r="J2930" s="87">
        <v>0.26159077669434527</v>
      </c>
      <c r="K2930" s="87">
        <v>6.2384967067948756</v>
      </c>
    </row>
    <row r="2931" spans="9:11" x14ac:dyDescent="0.25">
      <c r="I2931" s="86">
        <v>2930</v>
      </c>
      <c r="J2931" s="87">
        <v>2.2622103400720208</v>
      </c>
      <c r="K2931" s="87">
        <v>5.3921935740541427</v>
      </c>
    </row>
    <row r="2932" spans="9:11" x14ac:dyDescent="0.25">
      <c r="I2932" s="86">
        <v>2931</v>
      </c>
      <c r="J2932" s="87">
        <v>4.0616579830362145</v>
      </c>
      <c r="K2932" s="87">
        <v>7.2660071797865475</v>
      </c>
    </row>
    <row r="2933" spans="9:11" x14ac:dyDescent="0.25">
      <c r="I2933" s="86">
        <v>2932</v>
      </c>
      <c r="J2933" s="87">
        <v>0.13620841131801154</v>
      </c>
      <c r="K2933" s="87">
        <v>7.3423034685167643</v>
      </c>
    </row>
    <row r="2934" spans="9:11" x14ac:dyDescent="0.25">
      <c r="I2934" s="86">
        <v>2933</v>
      </c>
      <c r="J2934" s="87">
        <v>-0.75362067548036205</v>
      </c>
      <c r="K2934" s="87">
        <v>6.3561404808160429</v>
      </c>
    </row>
    <row r="2935" spans="9:11" x14ac:dyDescent="0.25">
      <c r="I2935" s="86">
        <v>2934</v>
      </c>
      <c r="J2935" s="87">
        <v>10.031462383940063</v>
      </c>
      <c r="K2935" s="87">
        <v>12.029053041206591</v>
      </c>
    </row>
    <row r="2936" spans="9:11" x14ac:dyDescent="0.25">
      <c r="I2936" s="86">
        <v>2935</v>
      </c>
      <c r="J2936" s="87">
        <v>1.5236886817778452</v>
      </c>
      <c r="K2936" s="87">
        <v>5.4806588917995009</v>
      </c>
    </row>
    <row r="2937" spans="9:11" x14ac:dyDescent="0.25">
      <c r="I2937" s="86">
        <v>2936</v>
      </c>
      <c r="J2937" s="87">
        <v>6.4993839814845691</v>
      </c>
      <c r="K2937" s="87">
        <v>8.5234292661345847</v>
      </c>
    </row>
    <row r="2938" spans="9:11" x14ac:dyDescent="0.25">
      <c r="I2938" s="86">
        <v>2937</v>
      </c>
      <c r="J2938" s="87">
        <v>0.72166049291742151</v>
      </c>
      <c r="K2938" s="87">
        <v>6.4097020351364273</v>
      </c>
    </row>
    <row r="2939" spans="9:11" x14ac:dyDescent="0.25">
      <c r="I2939" s="86">
        <v>2938</v>
      </c>
      <c r="J2939" s="87">
        <v>0.15093485375490001</v>
      </c>
      <c r="K2939" s="87">
        <v>5.2915832056395287</v>
      </c>
    </row>
    <row r="2940" spans="9:11" x14ac:dyDescent="0.25">
      <c r="I2940" s="86">
        <v>2939</v>
      </c>
      <c r="J2940" s="87">
        <v>2.5347299665592615</v>
      </c>
      <c r="K2940" s="87">
        <v>6.9524286665209685</v>
      </c>
    </row>
    <row r="2941" spans="9:11" x14ac:dyDescent="0.25">
      <c r="I2941" s="86">
        <v>2940</v>
      </c>
      <c r="J2941" s="87">
        <v>2.153640801562144</v>
      </c>
      <c r="K2941" s="87">
        <v>8.0974081717887465</v>
      </c>
    </row>
    <row r="2942" spans="9:11" x14ac:dyDescent="0.25">
      <c r="I2942" s="86">
        <v>2941</v>
      </c>
      <c r="J2942" s="87">
        <v>-1.7758072258084838</v>
      </c>
      <c r="K2942" s="87">
        <v>4.6760073369464994</v>
      </c>
    </row>
    <row r="2943" spans="9:11" x14ac:dyDescent="0.25">
      <c r="I2943" s="86">
        <v>2942</v>
      </c>
      <c r="J2943" s="87">
        <v>0.58112688645323995</v>
      </c>
      <c r="K2943" s="87">
        <v>7.8830208810674236</v>
      </c>
    </row>
    <row r="2944" spans="9:11" x14ac:dyDescent="0.25">
      <c r="I2944" s="86">
        <v>2943</v>
      </c>
      <c r="J2944" s="87">
        <v>-1.3484422312539373</v>
      </c>
      <c r="K2944" s="87">
        <v>5.5420991900475078</v>
      </c>
    </row>
    <row r="2945" spans="9:11" x14ac:dyDescent="0.25">
      <c r="I2945" s="86">
        <v>2944</v>
      </c>
      <c r="J2945" s="87">
        <v>0.54569494448226541</v>
      </c>
      <c r="K2945" s="87">
        <v>4.7801800969316908</v>
      </c>
    </row>
    <row r="2946" spans="9:11" x14ac:dyDescent="0.25">
      <c r="I2946" s="86">
        <v>2945</v>
      </c>
      <c r="J2946" s="87">
        <v>1.4384296531902203</v>
      </c>
      <c r="K2946" s="87">
        <v>5.7838274600223301</v>
      </c>
    </row>
    <row r="2947" spans="9:11" x14ac:dyDescent="0.25">
      <c r="I2947" s="86">
        <v>2946</v>
      </c>
      <c r="J2947" s="87">
        <v>1.3351290195687322</v>
      </c>
      <c r="K2947" s="87">
        <v>6.2910075775010492</v>
      </c>
    </row>
    <row r="2948" spans="9:11" x14ac:dyDescent="0.25">
      <c r="I2948" s="86">
        <v>2947</v>
      </c>
      <c r="J2948" s="87">
        <v>0.37771219414425028</v>
      </c>
      <c r="K2948" s="87">
        <v>5.1637251883234088</v>
      </c>
    </row>
    <row r="2949" spans="9:11" x14ac:dyDescent="0.25">
      <c r="I2949" s="86">
        <v>2948</v>
      </c>
      <c r="J2949" s="87">
        <v>3.7892080719630332</v>
      </c>
      <c r="K2949" s="87">
        <v>7.2631708799097066</v>
      </c>
    </row>
    <row r="2950" spans="9:11" x14ac:dyDescent="0.25">
      <c r="I2950" s="86">
        <v>2949</v>
      </c>
      <c r="J2950" s="87">
        <v>1.0425878448406891</v>
      </c>
      <c r="K2950" s="87">
        <v>7.6416753391647392</v>
      </c>
    </row>
    <row r="2951" spans="9:11" x14ac:dyDescent="0.25">
      <c r="I2951" s="86">
        <v>2950</v>
      </c>
      <c r="J2951" s="87">
        <v>1.8380357786473951</v>
      </c>
      <c r="K2951" s="87">
        <v>7.7784141386749814</v>
      </c>
    </row>
    <row r="2952" spans="9:11" x14ac:dyDescent="0.25">
      <c r="I2952" s="86">
        <v>2951</v>
      </c>
      <c r="J2952" s="87">
        <v>4.0714892626865309</v>
      </c>
      <c r="K2952" s="87">
        <v>8.9247382971336418</v>
      </c>
    </row>
    <row r="2953" spans="9:11" x14ac:dyDescent="0.25">
      <c r="I2953" s="86">
        <v>2952</v>
      </c>
      <c r="J2953" s="87">
        <v>5.2116267004883756</v>
      </c>
      <c r="K2953" s="87">
        <v>6.4100035388135543</v>
      </c>
    </row>
    <row r="2954" spans="9:11" x14ac:dyDescent="0.25">
      <c r="I2954" s="86">
        <v>2953</v>
      </c>
      <c r="J2954" s="87">
        <v>1.6536227125552045</v>
      </c>
      <c r="K2954" s="87">
        <v>7.0657456250244914</v>
      </c>
    </row>
    <row r="2955" spans="9:11" x14ac:dyDescent="0.25">
      <c r="I2955" s="86">
        <v>2954</v>
      </c>
      <c r="J2955" s="87">
        <v>2.8980419895857024</v>
      </c>
      <c r="K2955" s="87">
        <v>7.966047721352246</v>
      </c>
    </row>
    <row r="2956" spans="9:11" x14ac:dyDescent="0.25">
      <c r="I2956" s="86">
        <v>2955</v>
      </c>
      <c r="J2956" s="87">
        <v>1.9640141355978802</v>
      </c>
      <c r="K2956" s="87">
        <v>5.7984544489781618</v>
      </c>
    </row>
    <row r="2957" spans="9:11" x14ac:dyDescent="0.25">
      <c r="I2957" s="86">
        <v>2956</v>
      </c>
      <c r="J2957" s="87">
        <v>7.0096494498927466</v>
      </c>
      <c r="K2957" s="87">
        <v>12.26495128755238</v>
      </c>
    </row>
    <row r="2958" spans="9:11" x14ac:dyDescent="0.25">
      <c r="I2958" s="86">
        <v>2957</v>
      </c>
      <c r="J2958" s="87">
        <v>0.80733538899188284</v>
      </c>
      <c r="K2958" s="87">
        <v>4.4282289787136406</v>
      </c>
    </row>
    <row r="2959" spans="9:11" x14ac:dyDescent="0.25">
      <c r="I2959" s="86">
        <v>2958</v>
      </c>
      <c r="J2959" s="87">
        <v>1.7058631271963414</v>
      </c>
      <c r="K2959" s="87">
        <v>5.948005592467636</v>
      </c>
    </row>
    <row r="2960" spans="9:11" x14ac:dyDescent="0.25">
      <c r="I2960" s="86">
        <v>2959</v>
      </c>
      <c r="J2960" s="87">
        <v>-0.33620421492872854</v>
      </c>
      <c r="K2960" s="87">
        <v>6.0280378322957127</v>
      </c>
    </row>
    <row r="2961" spans="9:11" x14ac:dyDescent="0.25">
      <c r="I2961" s="86">
        <v>2960</v>
      </c>
      <c r="J2961" s="87">
        <v>-0.91918033054063741</v>
      </c>
      <c r="K2961" s="87">
        <v>5.9209816339588697</v>
      </c>
    </row>
    <row r="2962" spans="9:11" x14ac:dyDescent="0.25">
      <c r="I2962" s="86">
        <v>2961</v>
      </c>
      <c r="J2962" s="87">
        <v>5.330851213658768</v>
      </c>
      <c r="K2962" s="87">
        <v>9.7485172115393812</v>
      </c>
    </row>
    <row r="2963" spans="9:11" x14ac:dyDescent="0.25">
      <c r="I2963" s="86">
        <v>2962</v>
      </c>
      <c r="J2963" s="87">
        <v>5.9497000871921557E-2</v>
      </c>
      <c r="K2963" s="87">
        <v>5.0505680815548954</v>
      </c>
    </row>
    <row r="2964" spans="9:11" x14ac:dyDescent="0.25">
      <c r="I2964" s="86">
        <v>2963</v>
      </c>
      <c r="J2964" s="87">
        <v>1.1821499649473877</v>
      </c>
      <c r="K2964" s="87">
        <v>7.0326903564278993</v>
      </c>
    </row>
    <row r="2965" spans="9:11" x14ac:dyDescent="0.25">
      <c r="I2965" s="86">
        <v>2964</v>
      </c>
      <c r="J2965" s="87">
        <v>0.84611263912101409</v>
      </c>
      <c r="K2965" s="87">
        <v>4.9604732505291551</v>
      </c>
    </row>
    <row r="2966" spans="9:11" x14ac:dyDescent="0.25">
      <c r="I2966" s="86">
        <v>2965</v>
      </c>
      <c r="J2966" s="87">
        <v>3.4224203251359029</v>
      </c>
      <c r="K2966" s="87">
        <v>6.1521612599633988</v>
      </c>
    </row>
    <row r="2967" spans="9:11" x14ac:dyDescent="0.25">
      <c r="I2967" s="86">
        <v>2966</v>
      </c>
      <c r="J2967" s="87">
        <v>-1.0804564737841726</v>
      </c>
      <c r="K2967" s="87">
        <v>4.944897161964187</v>
      </c>
    </row>
    <row r="2968" spans="9:11" x14ac:dyDescent="0.25">
      <c r="I2968" s="86">
        <v>2967</v>
      </c>
      <c r="J2968" s="87">
        <v>1.0638335022207519</v>
      </c>
      <c r="K2968" s="87">
        <v>6.2765227299441104</v>
      </c>
    </row>
    <row r="2969" spans="9:11" x14ac:dyDescent="0.25">
      <c r="I2969" s="86">
        <v>2968</v>
      </c>
      <c r="J2969" s="87">
        <v>-1.1584653320712537</v>
      </c>
      <c r="K2969" s="87">
        <v>5.8646049154758479</v>
      </c>
    </row>
    <row r="2970" spans="9:11" x14ac:dyDescent="0.25">
      <c r="I2970" s="86">
        <v>2969</v>
      </c>
      <c r="J2970" s="87">
        <v>-2.3046193716122985</v>
      </c>
      <c r="K2970" s="87">
        <v>4.7745390201411295</v>
      </c>
    </row>
    <row r="2971" spans="9:11" x14ac:dyDescent="0.25">
      <c r="I2971" s="86">
        <v>2970</v>
      </c>
      <c r="J2971" s="87">
        <v>3.3376048737052386</v>
      </c>
      <c r="K2971" s="87">
        <v>7.6141443276041336</v>
      </c>
    </row>
    <row r="2972" spans="9:11" x14ac:dyDescent="0.25">
      <c r="I2972" s="86">
        <v>2971</v>
      </c>
      <c r="J2972" s="87">
        <v>2.3979923098122606</v>
      </c>
      <c r="K2972" s="87">
        <v>7.6209428672555557</v>
      </c>
    </row>
    <row r="2973" spans="9:11" x14ac:dyDescent="0.25">
      <c r="I2973" s="86">
        <v>2972</v>
      </c>
      <c r="J2973" s="87">
        <v>3.0295722307761093</v>
      </c>
      <c r="K2973" s="87">
        <v>7.984306614680488</v>
      </c>
    </row>
    <row r="2974" spans="9:11" x14ac:dyDescent="0.25">
      <c r="I2974" s="86">
        <v>2973</v>
      </c>
      <c r="J2974" s="87">
        <v>1.4619211896896487</v>
      </c>
      <c r="K2974" s="87">
        <v>5.8127840996275664</v>
      </c>
    </row>
    <row r="2975" spans="9:11" x14ac:dyDescent="0.25">
      <c r="I2975" s="86">
        <v>2974</v>
      </c>
      <c r="J2975" s="87">
        <v>8.5021599499142333</v>
      </c>
      <c r="K2975" s="87">
        <v>11.697301892010341</v>
      </c>
    </row>
    <row r="2976" spans="9:11" x14ac:dyDescent="0.25">
      <c r="I2976" s="86">
        <v>2975</v>
      </c>
      <c r="J2976" s="87">
        <v>8.6562385280164023E-2</v>
      </c>
      <c r="K2976" s="87">
        <v>5.691978499100407</v>
      </c>
    </row>
    <row r="2977" spans="9:11" x14ac:dyDescent="0.25">
      <c r="I2977" s="86">
        <v>2976</v>
      </c>
      <c r="J2977" s="87">
        <v>0.68802710287371438</v>
      </c>
      <c r="K2977" s="87">
        <v>5.5224275097444258</v>
      </c>
    </row>
    <row r="2978" spans="9:11" x14ac:dyDescent="0.25">
      <c r="I2978" s="86">
        <v>2977</v>
      </c>
      <c r="J2978" s="87">
        <v>0.84319554538109909</v>
      </c>
      <c r="K2978" s="87">
        <v>6.1633628548525961</v>
      </c>
    </row>
    <row r="2979" spans="9:11" x14ac:dyDescent="0.25">
      <c r="I2979" s="86">
        <v>2978</v>
      </c>
      <c r="J2979" s="87">
        <v>2.4028741731049283</v>
      </c>
      <c r="K2979" s="87">
        <v>8.1588822704759405</v>
      </c>
    </row>
    <row r="2980" spans="9:11" x14ac:dyDescent="0.25">
      <c r="I2980" s="86">
        <v>2979</v>
      </c>
      <c r="J2980" s="87">
        <v>7.1059381318723389</v>
      </c>
      <c r="K2980" s="87">
        <v>9.9676759831061208</v>
      </c>
    </row>
    <row r="2981" spans="9:11" x14ac:dyDescent="0.25">
      <c r="I2981" s="86">
        <v>2980</v>
      </c>
      <c r="J2981" s="87">
        <v>-0.82500775054133779</v>
      </c>
      <c r="K2981" s="87">
        <v>4.6062644743412546</v>
      </c>
    </row>
    <row r="2982" spans="9:11" x14ac:dyDescent="0.25">
      <c r="I2982" s="86">
        <v>2981</v>
      </c>
      <c r="J2982" s="87">
        <v>1.5644409317265895</v>
      </c>
      <c r="K2982" s="87">
        <v>6.1116450957990285</v>
      </c>
    </row>
    <row r="2983" spans="9:11" x14ac:dyDescent="0.25">
      <c r="I2983" s="86">
        <v>2982</v>
      </c>
      <c r="J2983" s="87">
        <v>-0.2290042617203536</v>
      </c>
      <c r="K2983" s="87">
        <v>5.1691419465225046</v>
      </c>
    </row>
    <row r="2984" spans="9:11" x14ac:dyDescent="0.25">
      <c r="I2984" s="86">
        <v>2983</v>
      </c>
      <c r="J2984" s="87">
        <v>-1.0560176684167741</v>
      </c>
      <c r="K2984" s="87">
        <v>4.6931878843714516</v>
      </c>
    </row>
    <row r="2985" spans="9:11" x14ac:dyDescent="0.25">
      <c r="I2985" s="86">
        <v>2984</v>
      </c>
      <c r="J2985" s="87">
        <v>3.2015311875085368</v>
      </c>
      <c r="K2985" s="87">
        <v>7.4350809985529693</v>
      </c>
    </row>
    <row r="2986" spans="9:11" x14ac:dyDescent="0.25">
      <c r="I2986" s="86">
        <v>2985</v>
      </c>
      <c r="J2986" s="87">
        <v>3.170099347304463</v>
      </c>
      <c r="K2986" s="87">
        <v>8.0641960121207443</v>
      </c>
    </row>
    <row r="2987" spans="9:11" x14ac:dyDescent="0.25">
      <c r="I2987" s="86">
        <v>2986</v>
      </c>
      <c r="J2987" s="87">
        <v>1.8970708864518935</v>
      </c>
      <c r="K2987" s="87">
        <v>5.029390045348844</v>
      </c>
    </row>
    <row r="2988" spans="9:11" x14ac:dyDescent="0.25">
      <c r="I2988" s="86">
        <v>2987</v>
      </c>
      <c r="J2988" s="87">
        <v>1.6235040842076067</v>
      </c>
      <c r="K2988" s="87">
        <v>9.324817754823389</v>
      </c>
    </row>
    <row r="2989" spans="9:11" x14ac:dyDescent="0.25">
      <c r="I2989" s="86">
        <v>2988</v>
      </c>
      <c r="J2989" s="87">
        <v>1.6430409722793637</v>
      </c>
      <c r="K2989" s="87">
        <v>4.9106153548826974</v>
      </c>
    </row>
    <row r="2990" spans="9:11" x14ac:dyDescent="0.25">
      <c r="I2990" s="86">
        <v>2989</v>
      </c>
      <c r="J2990" s="87">
        <v>2.6604298847196404</v>
      </c>
      <c r="K2990" s="87">
        <v>8.8688412297990169</v>
      </c>
    </row>
    <row r="2991" spans="9:11" x14ac:dyDescent="0.25">
      <c r="I2991" s="86">
        <v>2990</v>
      </c>
      <c r="J2991" s="87">
        <v>-0.17564409092615119</v>
      </c>
      <c r="K2991" s="87">
        <v>5.8557230385166985</v>
      </c>
    </row>
    <row r="2992" spans="9:11" x14ac:dyDescent="0.25">
      <c r="I2992" s="86">
        <v>2991</v>
      </c>
      <c r="J2992" s="87">
        <v>-1.9865925510769245</v>
      </c>
      <c r="K2992" s="87">
        <v>5.6957864423006974</v>
      </c>
    </row>
    <row r="2993" spans="9:11" x14ac:dyDescent="0.25">
      <c r="I2993" s="86">
        <v>2992</v>
      </c>
      <c r="J2993" s="87">
        <v>1.7332916476081834</v>
      </c>
      <c r="K2993" s="87">
        <v>7.566963329059023</v>
      </c>
    </row>
    <row r="2994" spans="9:11" x14ac:dyDescent="0.25">
      <c r="I2994" s="86">
        <v>2993</v>
      </c>
      <c r="J2994" s="87">
        <v>1.2724172731612615</v>
      </c>
      <c r="K2994" s="87">
        <v>6.0474911582928135</v>
      </c>
    </row>
    <row r="2995" spans="9:11" x14ac:dyDescent="0.25">
      <c r="I2995" s="86">
        <v>2994</v>
      </c>
      <c r="J2995" s="87">
        <v>0.59500600385766633</v>
      </c>
      <c r="K2995" s="87">
        <v>4.9982908040777572</v>
      </c>
    </row>
    <row r="2996" spans="9:11" x14ac:dyDescent="0.25">
      <c r="I2996" s="86">
        <v>2995</v>
      </c>
      <c r="J2996" s="87">
        <v>-0.58309555875420838</v>
      </c>
      <c r="K2996" s="87">
        <v>5.6344260408994549</v>
      </c>
    </row>
    <row r="2997" spans="9:11" x14ac:dyDescent="0.25">
      <c r="I2997" s="86">
        <v>2996</v>
      </c>
      <c r="J2997" s="87">
        <v>-1.1988375188287836</v>
      </c>
      <c r="K2997" s="87">
        <v>4.8409521350956819</v>
      </c>
    </row>
    <row r="2998" spans="9:11" x14ac:dyDescent="0.25">
      <c r="I2998" s="86">
        <v>2997</v>
      </c>
      <c r="J2998" s="87">
        <v>1.1316241017582427</v>
      </c>
      <c r="K2998" s="87">
        <v>5.7750598180719122</v>
      </c>
    </row>
    <row r="2999" spans="9:11" x14ac:dyDescent="0.25">
      <c r="I2999" s="86">
        <v>2998</v>
      </c>
      <c r="J2999" s="87">
        <v>-1.8691170351432014</v>
      </c>
      <c r="K2999" s="87">
        <v>5.5589095705486562</v>
      </c>
    </row>
    <row r="3000" spans="9:11" x14ac:dyDescent="0.25">
      <c r="I3000" s="86">
        <v>2999</v>
      </c>
      <c r="J3000" s="87">
        <v>2.2816865175148831</v>
      </c>
      <c r="K3000" s="87">
        <v>6.6928527363837675</v>
      </c>
    </row>
    <row r="3001" spans="9:11" x14ac:dyDescent="0.25">
      <c r="I3001" s="86">
        <v>3000</v>
      </c>
      <c r="J3001" s="87">
        <v>1.2073039000841215</v>
      </c>
      <c r="K3001" s="87">
        <v>6.5691404338712296</v>
      </c>
    </row>
    <row r="3002" spans="9:11" x14ac:dyDescent="0.25">
      <c r="I3002" s="86">
        <v>3001</v>
      </c>
      <c r="J3002" s="87">
        <v>-0.86943236683176206</v>
      </c>
      <c r="K3002" s="87">
        <v>5.6900830756576273</v>
      </c>
    </row>
    <row r="3003" spans="9:11" x14ac:dyDescent="0.25">
      <c r="I3003" s="86">
        <v>3002</v>
      </c>
      <c r="J3003" s="87">
        <v>0.36937867376604139</v>
      </c>
      <c r="K3003" s="87">
        <v>5.3163701752411709</v>
      </c>
    </row>
    <row r="3004" spans="9:11" x14ac:dyDescent="0.25">
      <c r="I3004" s="86">
        <v>3003</v>
      </c>
      <c r="J3004" s="87">
        <v>-0.47923849317453282</v>
      </c>
      <c r="K3004" s="87">
        <v>5.4692709336800513</v>
      </c>
    </row>
    <row r="3005" spans="9:11" x14ac:dyDescent="0.25">
      <c r="I3005" s="86">
        <v>3004</v>
      </c>
      <c r="J3005" s="87">
        <v>1.5843675508064683</v>
      </c>
      <c r="K3005" s="87">
        <v>5.9050552883776444</v>
      </c>
    </row>
    <row r="3006" spans="9:11" x14ac:dyDescent="0.25">
      <c r="I3006" s="86">
        <v>3005</v>
      </c>
      <c r="J3006" s="87">
        <v>1.5630785893278967</v>
      </c>
      <c r="K3006" s="87">
        <v>6.5562721578396541</v>
      </c>
    </row>
    <row r="3007" spans="9:11" x14ac:dyDescent="0.25">
      <c r="I3007" s="86">
        <v>3006</v>
      </c>
      <c r="J3007" s="87">
        <v>1.9205055128926931</v>
      </c>
      <c r="K3007" s="87">
        <v>6.5735703074322336</v>
      </c>
    </row>
    <row r="3008" spans="9:11" x14ac:dyDescent="0.25">
      <c r="I3008" s="86">
        <v>3007</v>
      </c>
      <c r="J3008" s="87">
        <v>1.5374552600134868</v>
      </c>
      <c r="K3008" s="87">
        <v>7.9425160131951369</v>
      </c>
    </row>
    <row r="3009" spans="9:11" x14ac:dyDescent="0.25">
      <c r="I3009" s="86">
        <v>3008</v>
      </c>
      <c r="J3009" s="87">
        <v>3.2515885689457704</v>
      </c>
      <c r="K3009" s="87">
        <v>7.6922474115679202</v>
      </c>
    </row>
    <row r="3010" spans="9:11" x14ac:dyDescent="0.25">
      <c r="I3010" s="86">
        <v>3009</v>
      </c>
      <c r="J3010" s="87">
        <v>-0.45996303729571242</v>
      </c>
      <c r="K3010" s="87">
        <v>5.2539788487356791</v>
      </c>
    </row>
    <row r="3011" spans="9:11" x14ac:dyDescent="0.25">
      <c r="I3011" s="86">
        <v>3010</v>
      </c>
      <c r="J3011" s="87">
        <v>6.8597018483052015</v>
      </c>
      <c r="K3011" s="87">
        <v>9.1658643655090692</v>
      </c>
    </row>
    <row r="3012" spans="9:11" x14ac:dyDescent="0.25">
      <c r="I3012" s="86">
        <v>3011</v>
      </c>
      <c r="J3012" s="87">
        <v>0.66878324152340873</v>
      </c>
      <c r="K3012" s="87">
        <v>7.8336740578032025</v>
      </c>
    </row>
    <row r="3013" spans="9:11" x14ac:dyDescent="0.25">
      <c r="I3013" s="86">
        <v>3012</v>
      </c>
      <c r="J3013" s="87">
        <v>1.0896147471121624</v>
      </c>
      <c r="K3013" s="87">
        <v>7.3397701335622338</v>
      </c>
    </row>
    <row r="3014" spans="9:11" x14ac:dyDescent="0.25">
      <c r="I3014" s="86">
        <v>3013</v>
      </c>
      <c r="J3014" s="87">
        <v>2.4541297347719775</v>
      </c>
      <c r="K3014" s="87">
        <v>5.6690102907049207</v>
      </c>
    </row>
    <row r="3015" spans="9:11" x14ac:dyDescent="0.25">
      <c r="I3015" s="86">
        <v>3014</v>
      </c>
      <c r="J3015" s="87">
        <v>-0.49570850484548501</v>
      </c>
      <c r="K3015" s="87">
        <v>5.9576663881995673</v>
      </c>
    </row>
    <row r="3016" spans="9:11" x14ac:dyDescent="0.25">
      <c r="I3016" s="86">
        <v>3015</v>
      </c>
      <c r="J3016" s="87">
        <v>1.0576796265890498</v>
      </c>
      <c r="K3016" s="87">
        <v>5.4954898204442886</v>
      </c>
    </row>
    <row r="3017" spans="9:11" x14ac:dyDescent="0.25">
      <c r="I3017" s="86">
        <v>3016</v>
      </c>
      <c r="J3017" s="87">
        <v>-0.28615327847568572</v>
      </c>
      <c r="K3017" s="87">
        <v>5.2022704349450839</v>
      </c>
    </row>
    <row r="3018" spans="9:11" x14ac:dyDescent="0.25">
      <c r="I3018" s="86">
        <v>3017</v>
      </c>
      <c r="J3018" s="87">
        <v>2.0463437115681025</v>
      </c>
      <c r="K3018" s="87">
        <v>6.7626125010375793</v>
      </c>
    </row>
    <row r="3019" spans="9:11" x14ac:dyDescent="0.25">
      <c r="I3019" s="86">
        <v>3018</v>
      </c>
      <c r="J3019" s="87">
        <v>0.71972914257459575</v>
      </c>
      <c r="K3019" s="87">
        <v>5.7120801970731474</v>
      </c>
    </row>
    <row r="3020" spans="9:11" x14ac:dyDescent="0.25">
      <c r="I3020" s="86">
        <v>3019</v>
      </c>
      <c r="J3020" s="87">
        <v>-0.67745023299635898</v>
      </c>
      <c r="K3020" s="87">
        <v>4.5100555236320448</v>
      </c>
    </row>
    <row r="3021" spans="9:11" x14ac:dyDescent="0.25">
      <c r="I3021" s="86">
        <v>3020</v>
      </c>
      <c r="J3021" s="87">
        <v>1.0603463500063501</v>
      </c>
      <c r="K3021" s="87">
        <v>6.6492507128456033</v>
      </c>
    </row>
    <row r="3022" spans="9:11" x14ac:dyDescent="0.25">
      <c r="I3022" s="86">
        <v>3021</v>
      </c>
      <c r="J3022" s="87">
        <v>-0.87808236293981912</v>
      </c>
      <c r="K3022" s="87">
        <v>4.6660968074804723</v>
      </c>
    </row>
    <row r="3023" spans="9:11" x14ac:dyDescent="0.25">
      <c r="I3023" s="86">
        <v>3022</v>
      </c>
      <c r="J3023" s="87">
        <v>4.1275413774702887</v>
      </c>
      <c r="K3023" s="87">
        <v>6.432398422701187</v>
      </c>
    </row>
    <row r="3024" spans="9:11" x14ac:dyDescent="0.25">
      <c r="I3024" s="86">
        <v>3023</v>
      </c>
      <c r="J3024" s="87">
        <v>0.92722216936566859</v>
      </c>
      <c r="K3024" s="87">
        <v>5.938474738284274</v>
      </c>
    </row>
    <row r="3025" spans="9:11" x14ac:dyDescent="0.25">
      <c r="I3025" s="86">
        <v>3024</v>
      </c>
      <c r="J3025" s="87">
        <v>0.77361010272416175</v>
      </c>
      <c r="K3025" s="87">
        <v>5.7583088104953415</v>
      </c>
    </row>
    <row r="3026" spans="9:11" x14ac:dyDescent="0.25">
      <c r="I3026" s="86">
        <v>3025</v>
      </c>
      <c r="J3026" s="87">
        <v>-1.1823543230897293</v>
      </c>
      <c r="K3026" s="87">
        <v>3.7460020583300864</v>
      </c>
    </row>
    <row r="3027" spans="9:11" x14ac:dyDescent="0.25">
      <c r="I3027" s="86">
        <v>3026</v>
      </c>
      <c r="J3027" s="87">
        <v>2.4053168949107642</v>
      </c>
      <c r="K3027" s="87">
        <v>5.8487964405309905</v>
      </c>
    </row>
    <row r="3028" spans="9:11" x14ac:dyDescent="0.25">
      <c r="I3028" s="86">
        <v>3027</v>
      </c>
      <c r="J3028" s="87">
        <v>-2.2169096671196726</v>
      </c>
      <c r="K3028" s="87">
        <v>5.4181320076102946</v>
      </c>
    </row>
    <row r="3029" spans="9:11" x14ac:dyDescent="0.25">
      <c r="I3029" s="86">
        <v>3028</v>
      </c>
      <c r="J3029" s="87">
        <v>4.0855762461866032</v>
      </c>
      <c r="K3029" s="87">
        <v>7.7839360373695667</v>
      </c>
    </row>
    <row r="3030" spans="9:11" x14ac:dyDescent="0.25">
      <c r="I3030" s="86">
        <v>3029</v>
      </c>
      <c r="J3030" s="87">
        <v>0.18033360455995417</v>
      </c>
      <c r="K3030" s="87">
        <v>5.1481379156738214</v>
      </c>
    </row>
    <row r="3031" spans="9:11" x14ac:dyDescent="0.25">
      <c r="I3031" s="86">
        <v>3030</v>
      </c>
      <c r="J3031" s="87">
        <v>-1.0844830761893558</v>
      </c>
      <c r="K3031" s="87">
        <v>5.6334811589093068</v>
      </c>
    </row>
    <row r="3032" spans="9:11" x14ac:dyDescent="0.25">
      <c r="I3032" s="86">
        <v>3031</v>
      </c>
      <c r="J3032" s="87">
        <v>1.5157831916903994</v>
      </c>
      <c r="K3032" s="87">
        <v>7.7785238352820549</v>
      </c>
    </row>
    <row r="3033" spans="9:11" x14ac:dyDescent="0.25">
      <c r="I3033" s="86">
        <v>3032</v>
      </c>
      <c r="J3033" s="87">
        <v>-0.45265997786108958</v>
      </c>
      <c r="K3033" s="87">
        <v>6.4682155761184896</v>
      </c>
    </row>
    <row r="3034" spans="9:11" x14ac:dyDescent="0.25">
      <c r="I3034" s="86">
        <v>3033</v>
      </c>
      <c r="J3034" s="87">
        <v>0.59226892429342337</v>
      </c>
      <c r="K3034" s="87">
        <v>4.9166954075393186</v>
      </c>
    </row>
    <row r="3035" spans="9:11" x14ac:dyDescent="0.25">
      <c r="I3035" s="86">
        <v>3034</v>
      </c>
      <c r="J3035" s="87">
        <v>2.7468198811144111</v>
      </c>
      <c r="K3035" s="87">
        <v>9.9423515169840648</v>
      </c>
    </row>
    <row r="3036" spans="9:11" x14ac:dyDescent="0.25">
      <c r="I3036" s="86">
        <v>3035</v>
      </c>
      <c r="J3036" s="87">
        <v>2.8949074579573324</v>
      </c>
      <c r="K3036" s="87">
        <v>7.024236435228767</v>
      </c>
    </row>
    <row r="3037" spans="9:11" x14ac:dyDescent="0.25">
      <c r="I3037" s="86">
        <v>3036</v>
      </c>
      <c r="J3037" s="87">
        <v>1.1600932929887438</v>
      </c>
      <c r="K3037" s="87">
        <v>5.9680548882140378</v>
      </c>
    </row>
    <row r="3038" spans="9:11" x14ac:dyDescent="0.25">
      <c r="I3038" s="86">
        <v>3037</v>
      </c>
      <c r="J3038" s="87">
        <v>1.696179208961869</v>
      </c>
      <c r="K3038" s="87">
        <v>8.7431398972091472</v>
      </c>
    </row>
    <row r="3039" spans="9:11" x14ac:dyDescent="0.25">
      <c r="I3039" s="86">
        <v>3038</v>
      </c>
      <c r="J3039" s="87">
        <v>-0.60682941450573846</v>
      </c>
      <c r="K3039" s="87">
        <v>5.0611212087883537</v>
      </c>
    </row>
    <row r="3040" spans="9:11" x14ac:dyDescent="0.25">
      <c r="I3040" s="86">
        <v>3039</v>
      </c>
      <c r="J3040" s="87">
        <v>2.5838865420032278</v>
      </c>
      <c r="K3040" s="87">
        <v>9.7827926555410691</v>
      </c>
    </row>
    <row r="3041" spans="9:11" x14ac:dyDescent="0.25">
      <c r="I3041" s="86">
        <v>3040</v>
      </c>
      <c r="J3041" s="87">
        <v>0.23313072024130133</v>
      </c>
      <c r="K3041" s="87">
        <v>6.5191817271794683</v>
      </c>
    </row>
    <row r="3042" spans="9:11" x14ac:dyDescent="0.25">
      <c r="I3042" s="86">
        <v>3041</v>
      </c>
      <c r="J3042" s="87">
        <v>2.2182029671801988</v>
      </c>
      <c r="K3042" s="87">
        <v>7.3727120793535823</v>
      </c>
    </row>
    <row r="3043" spans="9:11" x14ac:dyDescent="0.25">
      <c r="I3043" s="86">
        <v>3042</v>
      </c>
      <c r="J3043" s="87">
        <v>4.7939765202456286</v>
      </c>
      <c r="K3043" s="87">
        <v>9.1626327763005744</v>
      </c>
    </row>
    <row r="3044" spans="9:11" x14ac:dyDescent="0.25">
      <c r="I3044" s="86">
        <v>3043</v>
      </c>
      <c r="J3044" s="87">
        <v>1.1008871387194752E-2</v>
      </c>
      <c r="K3044" s="87">
        <v>5.4820564514113013</v>
      </c>
    </row>
    <row r="3045" spans="9:11" x14ac:dyDescent="0.25">
      <c r="I3045" s="86">
        <v>3044</v>
      </c>
      <c r="J3045" s="87">
        <v>3.6208411440622976</v>
      </c>
      <c r="K3045" s="87">
        <v>8.4636843745337771</v>
      </c>
    </row>
    <row r="3046" spans="9:11" x14ac:dyDescent="0.25">
      <c r="I3046" s="86">
        <v>3045</v>
      </c>
      <c r="J3046" s="87">
        <v>-2.2044860110516256</v>
      </c>
      <c r="K3046" s="87">
        <v>4.1997898899603063</v>
      </c>
    </row>
    <row r="3047" spans="9:11" x14ac:dyDescent="0.25">
      <c r="I3047" s="86">
        <v>3046</v>
      </c>
      <c r="J3047" s="87">
        <v>1.838703274235959</v>
      </c>
      <c r="K3047" s="87">
        <v>6.3671867040992156</v>
      </c>
    </row>
    <row r="3048" spans="9:11" x14ac:dyDescent="0.25">
      <c r="I3048" s="86">
        <v>3047</v>
      </c>
      <c r="J3048" s="87">
        <v>-1.2824981283372097</v>
      </c>
      <c r="K3048" s="87">
        <v>4.9964137377307791</v>
      </c>
    </row>
    <row r="3049" spans="9:11" x14ac:dyDescent="0.25">
      <c r="I3049" s="86">
        <v>3048</v>
      </c>
      <c r="J3049" s="87">
        <v>1.9350307355842542</v>
      </c>
      <c r="K3049" s="87">
        <v>6.7495924190783443</v>
      </c>
    </row>
    <row r="3050" spans="9:11" x14ac:dyDescent="0.25">
      <c r="I3050" s="86">
        <v>3049</v>
      </c>
      <c r="J3050" s="87">
        <v>0.98884117838374497</v>
      </c>
      <c r="K3050" s="87">
        <v>7.3116948463014326</v>
      </c>
    </row>
    <row r="3051" spans="9:11" x14ac:dyDescent="0.25">
      <c r="I3051" s="86">
        <v>3050</v>
      </c>
      <c r="J3051" s="87">
        <v>0.18273809170854971</v>
      </c>
      <c r="K3051" s="87">
        <v>6.0823787368513482</v>
      </c>
    </row>
    <row r="3052" spans="9:11" x14ac:dyDescent="0.25">
      <c r="I3052" s="86">
        <v>3051</v>
      </c>
      <c r="J3052" s="87">
        <v>0.46125180290038248</v>
      </c>
      <c r="K3052" s="87">
        <v>5.2230162725629325</v>
      </c>
    </row>
    <row r="3053" spans="9:11" x14ac:dyDescent="0.25">
      <c r="I3053" s="86">
        <v>3052</v>
      </c>
      <c r="J3053" s="87">
        <v>6.348527827281913</v>
      </c>
      <c r="K3053" s="87">
        <v>9.8156751821640604</v>
      </c>
    </row>
    <row r="3054" spans="9:11" x14ac:dyDescent="0.25">
      <c r="I3054" s="86">
        <v>3053</v>
      </c>
      <c r="J3054" s="87">
        <v>0.60870774678734341</v>
      </c>
      <c r="K3054" s="87">
        <v>4.0077289463973989</v>
      </c>
    </row>
    <row r="3055" spans="9:11" x14ac:dyDescent="0.25">
      <c r="I3055" s="86">
        <v>3054</v>
      </c>
      <c r="J3055" s="87">
        <v>2.0347969003794617</v>
      </c>
      <c r="K3055" s="87">
        <v>8.5241227781006614</v>
      </c>
    </row>
    <row r="3056" spans="9:11" x14ac:dyDescent="0.25">
      <c r="I3056" s="86">
        <v>3055</v>
      </c>
      <c r="J3056" s="87">
        <v>1.8082319767720803</v>
      </c>
      <c r="K3056" s="87">
        <v>7.6704452593947723</v>
      </c>
    </row>
    <row r="3057" spans="9:11" x14ac:dyDescent="0.25">
      <c r="I3057" s="86">
        <v>3056</v>
      </c>
      <c r="J3057" s="87">
        <v>1.820642571801379</v>
      </c>
      <c r="K3057" s="87">
        <v>6.9136260078403771</v>
      </c>
    </row>
    <row r="3058" spans="9:11" x14ac:dyDescent="0.25">
      <c r="I3058" s="86">
        <v>3057</v>
      </c>
      <c r="J3058" s="87">
        <v>0.55800367355246738</v>
      </c>
      <c r="K3058" s="87">
        <v>6.2278311427552246</v>
      </c>
    </row>
    <row r="3059" spans="9:11" x14ac:dyDescent="0.25">
      <c r="I3059" s="86">
        <v>3058</v>
      </c>
      <c r="J3059" s="87">
        <v>1.7866164506373297</v>
      </c>
      <c r="K3059" s="87">
        <v>6.4647256888948545</v>
      </c>
    </row>
    <row r="3060" spans="9:11" x14ac:dyDescent="0.25">
      <c r="I3060" s="86">
        <v>3059</v>
      </c>
      <c r="J3060" s="87">
        <v>-0.4381051808927614</v>
      </c>
      <c r="K3060" s="87">
        <v>6.2787291070971207</v>
      </c>
    </row>
    <row r="3061" spans="9:11" x14ac:dyDescent="0.25">
      <c r="I3061" s="86">
        <v>3060</v>
      </c>
      <c r="J3061" s="87">
        <v>1.3066783415948802</v>
      </c>
      <c r="K3061" s="87">
        <v>5.6510126361655697</v>
      </c>
    </row>
    <row r="3062" spans="9:11" x14ac:dyDescent="0.25">
      <c r="I3062" s="86">
        <v>3061</v>
      </c>
      <c r="J3062" s="87">
        <v>0.16355502196805816</v>
      </c>
      <c r="K3062" s="87">
        <v>6.2715098672435783</v>
      </c>
    </row>
    <row r="3063" spans="9:11" x14ac:dyDescent="0.25">
      <c r="I3063" s="86">
        <v>3062</v>
      </c>
      <c r="J3063" s="87">
        <v>2.4318649489049262</v>
      </c>
      <c r="K3063" s="87">
        <v>8.824781726993173</v>
      </c>
    </row>
    <row r="3064" spans="9:11" x14ac:dyDescent="0.25">
      <c r="I3064" s="86">
        <v>3063</v>
      </c>
      <c r="J3064" s="87">
        <v>1.5077052975496565</v>
      </c>
      <c r="K3064" s="87">
        <v>5.1797157903120379</v>
      </c>
    </row>
    <row r="3065" spans="9:11" x14ac:dyDescent="0.25">
      <c r="I3065" s="86">
        <v>3064</v>
      </c>
      <c r="J3065" s="87">
        <v>0.90878786836828862</v>
      </c>
      <c r="K3065" s="87">
        <v>6.1027117578411625</v>
      </c>
    </row>
    <row r="3066" spans="9:11" x14ac:dyDescent="0.25">
      <c r="I3066" s="86">
        <v>3065</v>
      </c>
      <c r="J3066" s="87">
        <v>1.1188089651314024</v>
      </c>
      <c r="K3066" s="87">
        <v>5.550732182570445</v>
      </c>
    </row>
    <row r="3067" spans="9:11" x14ac:dyDescent="0.25">
      <c r="I3067" s="86">
        <v>3066</v>
      </c>
      <c r="J3067" s="87">
        <v>2.1332305420045241</v>
      </c>
      <c r="K3067" s="87">
        <v>8.7280019952189321</v>
      </c>
    </row>
    <row r="3068" spans="9:11" x14ac:dyDescent="0.25">
      <c r="I3068" s="86">
        <v>3067</v>
      </c>
      <c r="J3068" s="87">
        <v>-0.74107311124850828</v>
      </c>
      <c r="K3068" s="87">
        <v>5.7223346376507633</v>
      </c>
    </row>
    <row r="3069" spans="9:11" x14ac:dyDescent="0.25">
      <c r="I3069" s="86">
        <v>3068</v>
      </c>
      <c r="J3069" s="87">
        <v>2.0512079519570579</v>
      </c>
      <c r="K3069" s="87">
        <v>6.3828801149170031</v>
      </c>
    </row>
    <row r="3070" spans="9:11" x14ac:dyDescent="0.25">
      <c r="I3070" s="86">
        <v>3069</v>
      </c>
      <c r="J3070" s="87">
        <v>-0.44203835448525197</v>
      </c>
      <c r="K3070" s="87">
        <v>4.9925176726652376</v>
      </c>
    </row>
    <row r="3071" spans="9:11" x14ac:dyDescent="0.25">
      <c r="I3071" s="86">
        <v>3070</v>
      </c>
      <c r="J3071" s="87">
        <v>1.5226013541458245</v>
      </c>
      <c r="K3071" s="87">
        <v>6.546348740307562</v>
      </c>
    </row>
    <row r="3072" spans="9:11" x14ac:dyDescent="0.25">
      <c r="I3072" s="86">
        <v>3071</v>
      </c>
      <c r="J3072" s="87">
        <v>0.62307174459135339</v>
      </c>
      <c r="K3072" s="87">
        <v>6.2419666347916936</v>
      </c>
    </row>
    <row r="3073" spans="9:11" x14ac:dyDescent="0.25">
      <c r="I3073" s="86">
        <v>3072</v>
      </c>
      <c r="J3073" s="87">
        <v>1.9759336136189276</v>
      </c>
      <c r="K3073" s="87">
        <v>7.9587754407597409</v>
      </c>
    </row>
    <row r="3074" spans="9:11" x14ac:dyDescent="0.25">
      <c r="I3074" s="86">
        <v>3073</v>
      </c>
      <c r="J3074" s="87">
        <v>1.9004906692377634</v>
      </c>
      <c r="K3074" s="87">
        <v>6.0195768502194467</v>
      </c>
    </row>
    <row r="3075" spans="9:11" x14ac:dyDescent="0.25">
      <c r="I3075" s="86">
        <v>3074</v>
      </c>
      <c r="J3075" s="87">
        <v>2.8922571744708394</v>
      </c>
      <c r="K3075" s="87">
        <v>7.6917473284490985</v>
      </c>
    </row>
    <row r="3076" spans="9:11" x14ac:dyDescent="0.25">
      <c r="I3076" s="86">
        <v>3075</v>
      </c>
      <c r="J3076" s="87">
        <v>-0.30898874386106012</v>
      </c>
      <c r="K3076" s="87">
        <v>4.5898280214171541</v>
      </c>
    </row>
    <row r="3077" spans="9:11" x14ac:dyDescent="0.25">
      <c r="I3077" s="86">
        <v>3076</v>
      </c>
      <c r="J3077" s="87">
        <v>-1.6462209283432765</v>
      </c>
      <c r="K3077" s="87">
        <v>5.142541175875456</v>
      </c>
    </row>
    <row r="3078" spans="9:11" x14ac:dyDescent="0.25">
      <c r="I3078" s="86">
        <v>3077</v>
      </c>
      <c r="J3078" s="87">
        <v>3.6225288181195854</v>
      </c>
      <c r="K3078" s="87">
        <v>7.7355784018717442</v>
      </c>
    </row>
    <row r="3079" spans="9:11" x14ac:dyDescent="0.25">
      <c r="I3079" s="86">
        <v>3078</v>
      </c>
      <c r="J3079" s="87">
        <v>0.81328291847759449</v>
      </c>
      <c r="K3079" s="87">
        <v>8.0637327987078606</v>
      </c>
    </row>
    <row r="3080" spans="9:11" x14ac:dyDescent="0.25">
      <c r="I3080" s="86">
        <v>3079</v>
      </c>
      <c r="J3080" s="87">
        <v>1.7621717375551373</v>
      </c>
      <c r="K3080" s="87">
        <v>6.9348628048940952</v>
      </c>
    </row>
    <row r="3081" spans="9:11" x14ac:dyDescent="0.25">
      <c r="I3081" s="86">
        <v>3080</v>
      </c>
      <c r="J3081" s="87">
        <v>0.94390066953499296</v>
      </c>
      <c r="K3081" s="87">
        <v>5.8246886860295657</v>
      </c>
    </row>
    <row r="3082" spans="9:11" x14ac:dyDescent="0.25">
      <c r="I3082" s="86">
        <v>3081</v>
      </c>
      <c r="J3082" s="87">
        <v>0.56534090086930799</v>
      </c>
      <c r="K3082" s="87">
        <v>6.0418062643509849</v>
      </c>
    </row>
    <row r="3083" spans="9:11" x14ac:dyDescent="0.25">
      <c r="I3083" s="86">
        <v>3082</v>
      </c>
      <c r="J3083" s="87">
        <v>-1.8963312596932189</v>
      </c>
      <c r="K3083" s="87">
        <v>5.1363963769961796</v>
      </c>
    </row>
    <row r="3084" spans="9:11" x14ac:dyDescent="0.25">
      <c r="I3084" s="86">
        <v>3083</v>
      </c>
      <c r="J3084" s="87">
        <v>6.3689835231500833</v>
      </c>
      <c r="K3084" s="87">
        <v>11.406680783234323</v>
      </c>
    </row>
    <row r="3085" spans="9:11" x14ac:dyDescent="0.25">
      <c r="I3085" s="86">
        <v>3084</v>
      </c>
      <c r="J3085" s="87">
        <v>-1.169383241928073</v>
      </c>
      <c r="K3085" s="87">
        <v>6.0186963579737753</v>
      </c>
    </row>
    <row r="3086" spans="9:11" x14ac:dyDescent="0.25">
      <c r="I3086" s="86">
        <v>3085</v>
      </c>
      <c r="J3086" s="87">
        <v>2.9466905548582281</v>
      </c>
      <c r="K3086" s="87">
        <v>7.4682897043257821</v>
      </c>
    </row>
    <row r="3087" spans="9:11" x14ac:dyDescent="0.25">
      <c r="I3087" s="86">
        <v>3086</v>
      </c>
      <c r="J3087" s="87">
        <v>1.2461940539481731</v>
      </c>
      <c r="K3087" s="87">
        <v>7.6987629713680361</v>
      </c>
    </row>
    <row r="3088" spans="9:11" x14ac:dyDescent="0.25">
      <c r="I3088" s="86">
        <v>3087</v>
      </c>
      <c r="J3088" s="87">
        <v>-0.21732028818906812</v>
      </c>
      <c r="K3088" s="87">
        <v>6.0487544719390547</v>
      </c>
    </row>
    <row r="3089" spans="9:11" x14ac:dyDescent="0.25">
      <c r="I3089" s="86">
        <v>3088</v>
      </c>
      <c r="J3089" s="87">
        <v>-0.74962056411285616</v>
      </c>
      <c r="K3089" s="87">
        <v>4.8657641356035564</v>
      </c>
    </row>
    <row r="3090" spans="9:11" x14ac:dyDescent="0.25">
      <c r="I3090" s="86">
        <v>3089</v>
      </c>
      <c r="J3090" s="87">
        <v>1.377956750743035</v>
      </c>
      <c r="K3090" s="87">
        <v>6.4993448181945137</v>
      </c>
    </row>
    <row r="3091" spans="9:11" x14ac:dyDescent="0.25">
      <c r="I3091" s="86">
        <v>3090</v>
      </c>
      <c r="J3091" s="87">
        <v>1.7065543658276319</v>
      </c>
      <c r="K3091" s="87">
        <v>6.0365568999265742</v>
      </c>
    </row>
    <row r="3092" spans="9:11" x14ac:dyDescent="0.25">
      <c r="I3092" s="86">
        <v>3091</v>
      </c>
      <c r="J3092" s="87">
        <v>5.8840912468375528E-2</v>
      </c>
      <c r="K3092" s="87">
        <v>5.545217121942847</v>
      </c>
    </row>
    <row r="3093" spans="9:11" x14ac:dyDescent="0.25">
      <c r="I3093" s="86">
        <v>3092</v>
      </c>
      <c r="J3093" s="87">
        <v>2.6140194513812123</v>
      </c>
      <c r="K3093" s="87">
        <v>7.7332341445284474</v>
      </c>
    </row>
    <row r="3094" spans="9:11" x14ac:dyDescent="0.25">
      <c r="I3094" s="86">
        <v>3093</v>
      </c>
      <c r="J3094" s="87">
        <v>-2.7105054233738102E-2</v>
      </c>
      <c r="K3094" s="87">
        <v>6.4229115081416426</v>
      </c>
    </row>
    <row r="3095" spans="9:11" x14ac:dyDescent="0.25">
      <c r="I3095" s="86">
        <v>3094</v>
      </c>
      <c r="J3095" s="87">
        <v>0.62800954480877724</v>
      </c>
      <c r="K3095" s="87">
        <v>7.6543879827658108</v>
      </c>
    </row>
    <row r="3096" spans="9:11" x14ac:dyDescent="0.25">
      <c r="I3096" s="86">
        <v>3095</v>
      </c>
      <c r="J3096" s="87">
        <v>1.9118305186723754</v>
      </c>
      <c r="K3096" s="87">
        <v>6.0991171933155135</v>
      </c>
    </row>
    <row r="3097" spans="9:11" x14ac:dyDescent="0.25">
      <c r="I3097" s="86">
        <v>3096</v>
      </c>
      <c r="J3097" s="87">
        <v>-0.13163819860844406</v>
      </c>
      <c r="K3097" s="87">
        <v>5.8078818044794236</v>
      </c>
    </row>
    <row r="3098" spans="9:11" x14ac:dyDescent="0.25">
      <c r="I3098" s="86">
        <v>3097</v>
      </c>
      <c r="J3098" s="87">
        <v>1.6269297257867761</v>
      </c>
      <c r="K3098" s="87">
        <v>7.1991183285986047</v>
      </c>
    </row>
    <row r="3099" spans="9:11" x14ac:dyDescent="0.25">
      <c r="I3099" s="86">
        <v>3098</v>
      </c>
      <c r="J3099" s="87">
        <v>0.66548007572536427</v>
      </c>
      <c r="K3099" s="87">
        <v>6.0870730516698375</v>
      </c>
    </row>
    <row r="3100" spans="9:11" x14ac:dyDescent="0.25">
      <c r="I3100" s="86">
        <v>3099</v>
      </c>
      <c r="J3100" s="87">
        <v>2.8950822415723376</v>
      </c>
      <c r="K3100" s="87">
        <v>6.0701848224540402</v>
      </c>
    </row>
    <row r="3101" spans="9:11" x14ac:dyDescent="0.25">
      <c r="I3101" s="86">
        <v>3100</v>
      </c>
      <c r="J3101" s="87">
        <v>4.5273162548584605</v>
      </c>
      <c r="K3101" s="87">
        <v>10.88273625247523</v>
      </c>
    </row>
    <row r="3102" spans="9:11" x14ac:dyDescent="0.25">
      <c r="I3102" s="86">
        <v>3101</v>
      </c>
      <c r="J3102" s="87">
        <v>-0.68561613667351118</v>
      </c>
      <c r="K3102" s="87">
        <v>5.4310036040778655</v>
      </c>
    </row>
    <row r="3103" spans="9:11" x14ac:dyDescent="0.25">
      <c r="I3103" s="86">
        <v>3102</v>
      </c>
      <c r="J3103" s="87">
        <v>2.0461837258455766</v>
      </c>
      <c r="K3103" s="87">
        <v>8.212142072315018</v>
      </c>
    </row>
    <row r="3104" spans="9:11" x14ac:dyDescent="0.25">
      <c r="I3104" s="86">
        <v>3103</v>
      </c>
      <c r="J3104" s="87">
        <v>1.991984573809781</v>
      </c>
      <c r="K3104" s="87">
        <v>5.6267318863695746</v>
      </c>
    </row>
    <row r="3105" spans="9:11" x14ac:dyDescent="0.25">
      <c r="I3105" s="86">
        <v>3104</v>
      </c>
      <c r="J3105" s="87">
        <v>-2.064735457945357</v>
      </c>
      <c r="K3105" s="87">
        <v>6.4087707771376463</v>
      </c>
    </row>
    <row r="3106" spans="9:11" x14ac:dyDescent="0.25">
      <c r="I3106" s="86">
        <v>3105</v>
      </c>
      <c r="J3106" s="87">
        <v>-0.31456405837653723</v>
      </c>
      <c r="K3106" s="87">
        <v>4.9462316716785919</v>
      </c>
    </row>
    <row r="3107" spans="9:11" x14ac:dyDescent="0.25">
      <c r="I3107" s="86">
        <v>3106</v>
      </c>
      <c r="J3107" s="87">
        <v>2.5759061673514863</v>
      </c>
      <c r="K3107" s="87">
        <v>6.8558262955706253</v>
      </c>
    </row>
    <row r="3108" spans="9:11" x14ac:dyDescent="0.25">
      <c r="I3108" s="86">
        <v>3107</v>
      </c>
      <c r="J3108" s="87">
        <v>2.1838198169428606</v>
      </c>
      <c r="K3108" s="87">
        <v>8.1180517328257871</v>
      </c>
    </row>
    <row r="3109" spans="9:11" x14ac:dyDescent="0.25">
      <c r="I3109" s="86">
        <v>3108</v>
      </c>
      <c r="J3109" s="87">
        <v>-0.78811314352682071</v>
      </c>
      <c r="K3109" s="87">
        <v>5.3582641637378909</v>
      </c>
    </row>
    <row r="3110" spans="9:11" x14ac:dyDescent="0.25">
      <c r="I3110" s="86">
        <v>3109</v>
      </c>
      <c r="J3110" s="87">
        <v>1.5459181384554155</v>
      </c>
      <c r="K3110" s="87">
        <v>6.1451910967465126</v>
      </c>
    </row>
    <row r="3111" spans="9:11" x14ac:dyDescent="0.25">
      <c r="I3111" s="86">
        <v>3110</v>
      </c>
      <c r="J3111" s="87">
        <v>6.1733426785751888E-2</v>
      </c>
      <c r="K3111" s="87">
        <v>5.701082698092665</v>
      </c>
    </row>
    <row r="3112" spans="9:11" x14ac:dyDescent="0.25">
      <c r="I3112" s="86">
        <v>3111</v>
      </c>
      <c r="J3112" s="87">
        <v>2.9656763061831199</v>
      </c>
      <c r="K3112" s="87">
        <v>8.5862342331954107</v>
      </c>
    </row>
    <row r="3113" spans="9:11" x14ac:dyDescent="0.25">
      <c r="I3113" s="86">
        <v>3112</v>
      </c>
      <c r="J3113" s="87">
        <v>0.74479272278658915</v>
      </c>
      <c r="K3113" s="87">
        <v>5.288683098171302</v>
      </c>
    </row>
    <row r="3114" spans="9:11" x14ac:dyDescent="0.25">
      <c r="I3114" s="86">
        <v>3113</v>
      </c>
      <c r="J3114" s="87">
        <v>-0.16005519138667612</v>
      </c>
      <c r="K3114" s="87">
        <v>5.624617776714933</v>
      </c>
    </row>
    <row r="3115" spans="9:11" x14ac:dyDescent="0.25">
      <c r="I3115" s="86">
        <v>3114</v>
      </c>
      <c r="J3115" s="87">
        <v>0.43332704521363574</v>
      </c>
      <c r="K3115" s="87">
        <v>6.5618274402711725</v>
      </c>
    </row>
    <row r="3116" spans="9:11" x14ac:dyDescent="0.25">
      <c r="I3116" s="86">
        <v>3115</v>
      </c>
      <c r="J3116" s="87">
        <v>1.8140700286340188</v>
      </c>
      <c r="K3116" s="87">
        <v>5.6944244696235273</v>
      </c>
    </row>
    <row r="3117" spans="9:11" x14ac:dyDescent="0.25">
      <c r="I3117" s="86">
        <v>3116</v>
      </c>
      <c r="J3117" s="87">
        <v>1.4964874746699346</v>
      </c>
      <c r="K3117" s="87">
        <v>7.5200996740360715</v>
      </c>
    </row>
    <row r="3118" spans="9:11" x14ac:dyDescent="0.25">
      <c r="I3118" s="86">
        <v>3117</v>
      </c>
      <c r="J3118" s="87">
        <v>2.967611201441648</v>
      </c>
      <c r="K3118" s="87">
        <v>7.4352859377935756</v>
      </c>
    </row>
    <row r="3119" spans="9:11" x14ac:dyDescent="0.25">
      <c r="I3119" s="86">
        <v>3118</v>
      </c>
      <c r="J3119" s="87">
        <v>2.1271177229504872</v>
      </c>
      <c r="K3119" s="87">
        <v>5.1184609463983168</v>
      </c>
    </row>
    <row r="3120" spans="9:11" x14ac:dyDescent="0.25">
      <c r="I3120" s="86">
        <v>3119</v>
      </c>
      <c r="J3120" s="87">
        <v>6.8763089386269627E-2</v>
      </c>
      <c r="K3120" s="87">
        <v>5.2911164165000466</v>
      </c>
    </row>
    <row r="3121" spans="9:11" x14ac:dyDescent="0.25">
      <c r="I3121" s="86">
        <v>3120</v>
      </c>
      <c r="J3121" s="87">
        <v>3.3916164112062201</v>
      </c>
      <c r="K3121" s="87">
        <v>8.342370825401737</v>
      </c>
    </row>
    <row r="3122" spans="9:11" x14ac:dyDescent="0.25">
      <c r="I3122" s="86">
        <v>3121</v>
      </c>
      <c r="J3122" s="87">
        <v>2.0267189450206899</v>
      </c>
      <c r="K3122" s="87">
        <v>5.9023406320823053</v>
      </c>
    </row>
    <row r="3123" spans="9:11" x14ac:dyDescent="0.25">
      <c r="I3123" s="86">
        <v>3122</v>
      </c>
      <c r="J3123" s="87">
        <v>1.3708690544704014</v>
      </c>
      <c r="K3123" s="87">
        <v>5.4350638737800496</v>
      </c>
    </row>
    <row r="3124" spans="9:11" x14ac:dyDescent="0.25">
      <c r="I3124" s="86">
        <v>3123</v>
      </c>
      <c r="J3124" s="87">
        <v>5.9816755830043373</v>
      </c>
      <c r="K3124" s="87">
        <v>10.333247586350549</v>
      </c>
    </row>
    <row r="3125" spans="9:11" x14ac:dyDescent="0.25">
      <c r="I3125" s="86">
        <v>3124</v>
      </c>
      <c r="J3125" s="87">
        <v>1.8197317957417845</v>
      </c>
      <c r="K3125" s="87">
        <v>6.067549664203665</v>
      </c>
    </row>
    <row r="3126" spans="9:11" x14ac:dyDescent="0.25">
      <c r="I3126" s="86">
        <v>3125</v>
      </c>
      <c r="J3126" s="87">
        <v>-0.97459750889780672</v>
      </c>
      <c r="K3126" s="87">
        <v>4.1143379504536144</v>
      </c>
    </row>
    <row r="3127" spans="9:11" x14ac:dyDescent="0.25">
      <c r="I3127" s="86">
        <v>3126</v>
      </c>
      <c r="J3127" s="87">
        <v>0.10354085974046345</v>
      </c>
      <c r="K3127" s="87">
        <v>6.8320006727785794</v>
      </c>
    </row>
    <row r="3128" spans="9:11" x14ac:dyDescent="0.25">
      <c r="I3128" s="86">
        <v>3127</v>
      </c>
      <c r="J3128" s="87">
        <v>0.39271604722997111</v>
      </c>
      <c r="K3128" s="87">
        <v>5.9950134664911907</v>
      </c>
    </row>
    <row r="3129" spans="9:11" x14ac:dyDescent="0.25">
      <c r="I3129" s="86">
        <v>3128</v>
      </c>
      <c r="J3129" s="87">
        <v>0.13772855139330709</v>
      </c>
      <c r="K3129" s="87">
        <v>5.4059958711182077</v>
      </c>
    </row>
    <row r="3130" spans="9:11" x14ac:dyDescent="0.25">
      <c r="I3130" s="86">
        <v>3129</v>
      </c>
      <c r="J3130" s="87">
        <v>6.8429390265464782</v>
      </c>
      <c r="K3130" s="87">
        <v>11.819063824958981</v>
      </c>
    </row>
    <row r="3131" spans="9:11" x14ac:dyDescent="0.25">
      <c r="I3131" s="86">
        <v>3130</v>
      </c>
      <c r="J3131" s="87">
        <v>1.9857428697448665</v>
      </c>
      <c r="K3131" s="87">
        <v>6.0041421545976101</v>
      </c>
    </row>
    <row r="3132" spans="9:11" x14ac:dyDescent="0.25">
      <c r="I3132" s="86">
        <v>3131</v>
      </c>
      <c r="J3132" s="87">
        <v>2.9725914330594154</v>
      </c>
      <c r="K3132" s="87">
        <v>8.1347879392680369</v>
      </c>
    </row>
    <row r="3133" spans="9:11" x14ac:dyDescent="0.25">
      <c r="I3133" s="86">
        <v>3132</v>
      </c>
      <c r="J3133" s="87">
        <v>2.5686355388777278</v>
      </c>
      <c r="K3133" s="87">
        <v>7.2296928347955784</v>
      </c>
    </row>
    <row r="3134" spans="9:11" x14ac:dyDescent="0.25">
      <c r="I3134" s="86">
        <v>3133</v>
      </c>
      <c r="J3134" s="87">
        <v>2.5903635275770487</v>
      </c>
      <c r="K3134" s="87">
        <v>7.5755438593867712</v>
      </c>
    </row>
    <row r="3135" spans="9:11" x14ac:dyDescent="0.25">
      <c r="I3135" s="86">
        <v>3134</v>
      </c>
      <c r="J3135" s="87">
        <v>0.5157999332704315</v>
      </c>
      <c r="K3135" s="87">
        <v>4.7492080626578037</v>
      </c>
    </row>
    <row r="3136" spans="9:11" x14ac:dyDescent="0.25">
      <c r="I3136" s="86">
        <v>3135</v>
      </c>
      <c r="J3136" s="87">
        <v>3.7981650000461418</v>
      </c>
      <c r="K3136" s="87">
        <v>9.6788669749845226</v>
      </c>
    </row>
    <row r="3137" spans="9:11" x14ac:dyDescent="0.25">
      <c r="I3137" s="86">
        <v>3136</v>
      </c>
      <c r="J3137" s="87">
        <v>1.4646120040089659</v>
      </c>
      <c r="K3137" s="87">
        <v>5.6242873156219817</v>
      </c>
    </row>
    <row r="3138" spans="9:11" x14ac:dyDescent="0.25">
      <c r="I3138" s="86">
        <v>3137</v>
      </c>
      <c r="J3138" s="87">
        <v>2.3326027151356934</v>
      </c>
      <c r="K3138" s="87">
        <v>6.6013013862225751</v>
      </c>
    </row>
    <row r="3139" spans="9:11" x14ac:dyDescent="0.25">
      <c r="I3139" s="86">
        <v>3138</v>
      </c>
      <c r="J3139" s="87">
        <v>5.5324526619272758</v>
      </c>
      <c r="K3139" s="87">
        <v>8.3427072238152693</v>
      </c>
    </row>
    <row r="3140" spans="9:11" x14ac:dyDescent="0.25">
      <c r="I3140" s="86">
        <v>3139</v>
      </c>
      <c r="J3140" s="87">
        <v>3.616940530110714</v>
      </c>
      <c r="K3140" s="87">
        <v>7.0906272555700482</v>
      </c>
    </row>
    <row r="3141" spans="9:11" x14ac:dyDescent="0.25">
      <c r="I3141" s="86">
        <v>3140</v>
      </c>
      <c r="J3141" s="87">
        <v>-0.11772092836622594</v>
      </c>
      <c r="K3141" s="87">
        <v>6.2146316860925488</v>
      </c>
    </row>
    <row r="3142" spans="9:11" x14ac:dyDescent="0.25">
      <c r="I3142" s="86">
        <v>3141</v>
      </c>
      <c r="J3142" s="87">
        <v>0.1705088576741014</v>
      </c>
      <c r="K3142" s="87">
        <v>6.4997579737154512</v>
      </c>
    </row>
    <row r="3143" spans="9:11" x14ac:dyDescent="0.25">
      <c r="I3143" s="86">
        <v>3142</v>
      </c>
      <c r="J3143" s="87">
        <v>-0.17551413784084957</v>
      </c>
      <c r="K3143" s="87">
        <v>5.629180329737232</v>
      </c>
    </row>
    <row r="3144" spans="9:11" x14ac:dyDescent="0.25">
      <c r="I3144" s="86">
        <v>3143</v>
      </c>
      <c r="J3144" s="87">
        <v>2.4409552636374228</v>
      </c>
      <c r="K3144" s="87">
        <v>5.3450329582593126</v>
      </c>
    </row>
    <row r="3145" spans="9:11" x14ac:dyDescent="0.25">
      <c r="I3145" s="86">
        <v>3144</v>
      </c>
      <c r="J3145" s="87">
        <v>5.1262745566845247</v>
      </c>
      <c r="K3145" s="87">
        <v>13.158475103678658</v>
      </c>
    </row>
    <row r="3146" spans="9:11" x14ac:dyDescent="0.25">
      <c r="I3146" s="86">
        <v>3145</v>
      </c>
      <c r="J3146" s="87">
        <v>-1.1358187791492131</v>
      </c>
      <c r="K3146" s="87">
        <v>5.8805777634223277</v>
      </c>
    </row>
    <row r="3147" spans="9:11" x14ac:dyDescent="0.25">
      <c r="I3147" s="86">
        <v>3146</v>
      </c>
      <c r="J3147" s="87">
        <v>-2.6757694337000428</v>
      </c>
      <c r="K3147" s="87">
        <v>3.8376994793621702</v>
      </c>
    </row>
    <row r="3148" spans="9:11" x14ac:dyDescent="0.25">
      <c r="I3148" s="86">
        <v>3147</v>
      </c>
      <c r="J3148" s="87">
        <v>-0.91373768688305557</v>
      </c>
      <c r="K3148" s="87">
        <v>6.1714713955655949</v>
      </c>
    </row>
    <row r="3149" spans="9:11" x14ac:dyDescent="0.25">
      <c r="I3149" s="86">
        <v>3148</v>
      </c>
      <c r="J3149" s="87">
        <v>-0.26952582413748249</v>
      </c>
      <c r="K3149" s="87">
        <v>4.3300568718661374</v>
      </c>
    </row>
    <row r="3150" spans="9:11" x14ac:dyDescent="0.25">
      <c r="I3150" s="86">
        <v>3149</v>
      </c>
      <c r="J3150" s="87">
        <v>0.90810445931349815</v>
      </c>
      <c r="K3150" s="87">
        <v>6.9132708248146537</v>
      </c>
    </row>
    <row r="3151" spans="9:11" x14ac:dyDescent="0.25">
      <c r="I3151" s="86">
        <v>3150</v>
      </c>
      <c r="J3151" s="87">
        <v>1.9681245140221648</v>
      </c>
      <c r="K3151" s="87">
        <v>7.0554545973946894</v>
      </c>
    </row>
    <row r="3152" spans="9:11" x14ac:dyDescent="0.25">
      <c r="I3152" s="86">
        <v>3151</v>
      </c>
      <c r="J3152" s="87">
        <v>0.81421879570429834</v>
      </c>
      <c r="K3152" s="87">
        <v>6.8646235758681495</v>
      </c>
    </row>
    <row r="3153" spans="9:11" x14ac:dyDescent="0.25">
      <c r="I3153" s="86">
        <v>3152</v>
      </c>
      <c r="J3153" s="87">
        <v>3.7943783679228051</v>
      </c>
      <c r="K3153" s="87">
        <v>7.9970035950618046</v>
      </c>
    </row>
    <row r="3154" spans="9:11" x14ac:dyDescent="0.25">
      <c r="I3154" s="86">
        <v>3153</v>
      </c>
      <c r="J3154" s="87">
        <v>3.8345055923301175</v>
      </c>
      <c r="K3154" s="87">
        <v>7.2361406971507529</v>
      </c>
    </row>
    <row r="3155" spans="9:11" x14ac:dyDescent="0.25">
      <c r="I3155" s="86">
        <v>3154</v>
      </c>
      <c r="J3155" s="87">
        <v>0.83068154882761291</v>
      </c>
      <c r="K3155" s="87">
        <v>6.8707658140191192</v>
      </c>
    </row>
    <row r="3156" spans="9:11" x14ac:dyDescent="0.25">
      <c r="I3156" s="86">
        <v>3155</v>
      </c>
      <c r="J3156" s="87">
        <v>1.9229781006779341</v>
      </c>
      <c r="K3156" s="87">
        <v>6.4701763458276496</v>
      </c>
    </row>
    <row r="3157" spans="9:11" x14ac:dyDescent="0.25">
      <c r="I3157" s="86">
        <v>3156</v>
      </c>
      <c r="J3157" s="87">
        <v>0.87519808623612416</v>
      </c>
      <c r="K3157" s="87">
        <v>7.1414816035704272</v>
      </c>
    </row>
    <row r="3158" spans="9:11" x14ac:dyDescent="0.25">
      <c r="I3158" s="86">
        <v>3157</v>
      </c>
      <c r="J3158" s="87">
        <v>0.99318397275750891</v>
      </c>
      <c r="K3158" s="87">
        <v>5.4670959752795278</v>
      </c>
    </row>
    <row r="3159" spans="9:11" x14ac:dyDescent="0.25">
      <c r="I3159" s="86">
        <v>3158</v>
      </c>
      <c r="J3159" s="87">
        <v>1.188475216102916</v>
      </c>
      <c r="K3159" s="87">
        <v>6.1467961981988219</v>
      </c>
    </row>
    <row r="3160" spans="9:11" x14ac:dyDescent="0.25">
      <c r="I3160" s="86">
        <v>3159</v>
      </c>
      <c r="J3160" s="87">
        <v>1.8530054556134967</v>
      </c>
      <c r="K3160" s="87">
        <v>8.2255886042299284</v>
      </c>
    </row>
    <row r="3161" spans="9:11" x14ac:dyDescent="0.25">
      <c r="I3161" s="86">
        <v>3160</v>
      </c>
      <c r="J3161" s="87">
        <v>2.8429591368023326</v>
      </c>
      <c r="K3161" s="87">
        <v>7.520366408579938</v>
      </c>
    </row>
    <row r="3162" spans="9:11" x14ac:dyDescent="0.25">
      <c r="I3162" s="86">
        <v>3161</v>
      </c>
      <c r="J3162" s="87">
        <v>2.6763350988826282</v>
      </c>
      <c r="K3162" s="87">
        <v>6.7439445548059513</v>
      </c>
    </row>
    <row r="3163" spans="9:11" x14ac:dyDescent="0.25">
      <c r="I3163" s="86">
        <v>3162</v>
      </c>
      <c r="J3163" s="87">
        <v>1.5799362730356368</v>
      </c>
      <c r="K3163" s="87">
        <v>6.1706350317988088</v>
      </c>
    </row>
    <row r="3164" spans="9:11" x14ac:dyDescent="0.25">
      <c r="I3164" s="86">
        <v>3163</v>
      </c>
      <c r="J3164" s="87">
        <v>0.83725721610478843</v>
      </c>
      <c r="K3164" s="87">
        <v>6.3954674186237588</v>
      </c>
    </row>
    <row r="3165" spans="9:11" x14ac:dyDescent="0.25">
      <c r="I3165" s="86">
        <v>3164</v>
      </c>
      <c r="J3165" s="87">
        <v>-0.13627980802128814</v>
      </c>
      <c r="K3165" s="87">
        <v>7.7997251906403156</v>
      </c>
    </row>
    <row r="3166" spans="9:11" x14ac:dyDescent="0.25">
      <c r="I3166" s="86">
        <v>3165</v>
      </c>
      <c r="J3166" s="87">
        <v>0.7341645616758985</v>
      </c>
      <c r="K3166" s="87">
        <v>5.9034632518547001</v>
      </c>
    </row>
    <row r="3167" spans="9:11" x14ac:dyDescent="0.25">
      <c r="I3167" s="86">
        <v>3166</v>
      </c>
      <c r="J3167" s="87">
        <v>-1.3815408689295303</v>
      </c>
      <c r="K3167" s="87">
        <v>5.5393826400783714</v>
      </c>
    </row>
    <row r="3168" spans="9:11" x14ac:dyDescent="0.25">
      <c r="I3168" s="86">
        <v>3167</v>
      </c>
      <c r="J3168" s="87">
        <v>3.0375227662291291</v>
      </c>
      <c r="K3168" s="87">
        <v>8.4385287013314798</v>
      </c>
    </row>
    <row r="3169" spans="9:11" x14ac:dyDescent="0.25">
      <c r="I3169" s="86">
        <v>3168</v>
      </c>
      <c r="J3169" s="87">
        <v>2.0427099388905576</v>
      </c>
      <c r="K3169" s="87">
        <v>8.2587537573148246</v>
      </c>
    </row>
    <row r="3170" spans="9:11" x14ac:dyDescent="0.25">
      <c r="I3170" s="86">
        <v>3169</v>
      </c>
      <c r="J3170" s="87">
        <v>-0.39447900043511996</v>
      </c>
      <c r="K3170" s="87">
        <v>5.9497429963718709</v>
      </c>
    </row>
    <row r="3171" spans="9:11" x14ac:dyDescent="0.25">
      <c r="I3171" s="86">
        <v>3170</v>
      </c>
      <c r="J3171" s="87">
        <v>-2.0313580847921004</v>
      </c>
      <c r="K3171" s="87">
        <v>4.8199904271207554</v>
      </c>
    </row>
    <row r="3172" spans="9:11" x14ac:dyDescent="0.25">
      <c r="I3172" s="86">
        <v>3171</v>
      </c>
      <c r="J3172" s="87">
        <v>1.5952999535286549</v>
      </c>
      <c r="K3172" s="87">
        <v>7.4285001073015344</v>
      </c>
    </row>
    <row r="3173" spans="9:11" x14ac:dyDescent="0.25">
      <c r="I3173" s="86">
        <v>3172</v>
      </c>
      <c r="J3173" s="87">
        <v>5.9268655060432014</v>
      </c>
      <c r="K3173" s="87">
        <v>9.4765138170494367</v>
      </c>
    </row>
    <row r="3174" spans="9:11" x14ac:dyDescent="0.25">
      <c r="I3174" s="86">
        <v>3173</v>
      </c>
      <c r="J3174" s="87">
        <v>2.5629910496614201</v>
      </c>
      <c r="K3174" s="87">
        <v>7.8965025588343609</v>
      </c>
    </row>
    <row r="3175" spans="9:11" x14ac:dyDescent="0.25">
      <c r="I3175" s="86">
        <v>3174</v>
      </c>
      <c r="J3175" s="87">
        <v>-0.8849892223578113</v>
      </c>
      <c r="K3175" s="87">
        <v>6.2804768026362492</v>
      </c>
    </row>
    <row r="3176" spans="9:11" x14ac:dyDescent="0.25">
      <c r="I3176" s="86">
        <v>3175</v>
      </c>
      <c r="J3176" s="87">
        <v>7.6290260631402784</v>
      </c>
      <c r="K3176" s="87">
        <v>12.104853400785823</v>
      </c>
    </row>
    <row r="3177" spans="9:11" x14ac:dyDescent="0.25">
      <c r="I3177" s="86">
        <v>3176</v>
      </c>
      <c r="J3177" s="87">
        <v>1.0781407616225236</v>
      </c>
      <c r="K3177" s="87">
        <v>7.8186805793797314</v>
      </c>
    </row>
    <row r="3178" spans="9:11" x14ac:dyDescent="0.25">
      <c r="I3178" s="86">
        <v>3177</v>
      </c>
      <c r="J3178" s="87">
        <v>1.2934790502936941</v>
      </c>
      <c r="K3178" s="87">
        <v>6.3021402673171014</v>
      </c>
    </row>
    <row r="3179" spans="9:11" x14ac:dyDescent="0.25">
      <c r="I3179" s="86">
        <v>3178</v>
      </c>
      <c r="J3179" s="87">
        <v>-1.4869852984643872</v>
      </c>
      <c r="K3179" s="87">
        <v>6.0146107549073626</v>
      </c>
    </row>
    <row r="3180" spans="9:11" x14ac:dyDescent="0.25">
      <c r="I3180" s="86">
        <v>3179</v>
      </c>
      <c r="J3180" s="87">
        <v>1.8712188336171778</v>
      </c>
      <c r="K3180" s="87">
        <v>6.398782267464588</v>
      </c>
    </row>
    <row r="3181" spans="9:11" x14ac:dyDescent="0.25">
      <c r="I3181" s="86">
        <v>3180</v>
      </c>
      <c r="J3181" s="87">
        <v>4.0059755835784809</v>
      </c>
      <c r="K3181" s="87">
        <v>8.923885745514692</v>
      </c>
    </row>
    <row r="3182" spans="9:11" x14ac:dyDescent="0.25">
      <c r="I3182" s="86">
        <v>3181</v>
      </c>
      <c r="J3182" s="87">
        <v>0.536096277938511</v>
      </c>
      <c r="K3182" s="87">
        <v>5.3464090959839456</v>
      </c>
    </row>
    <row r="3183" spans="9:11" x14ac:dyDescent="0.25">
      <c r="I3183" s="86">
        <v>3182</v>
      </c>
      <c r="J3183" s="87">
        <v>2.3326190400031166</v>
      </c>
      <c r="K3183" s="87">
        <v>9.0675202593557405</v>
      </c>
    </row>
    <row r="3184" spans="9:11" x14ac:dyDescent="0.25">
      <c r="I3184" s="86">
        <v>3183</v>
      </c>
      <c r="J3184" s="87">
        <v>3.1735755994002197</v>
      </c>
      <c r="K3184" s="87">
        <v>8.1514456455527871</v>
      </c>
    </row>
    <row r="3185" spans="9:11" x14ac:dyDescent="0.25">
      <c r="I3185" s="86">
        <v>3184</v>
      </c>
      <c r="J3185" s="87">
        <v>-0.3647831134227304</v>
      </c>
      <c r="K3185" s="87">
        <v>4.8398371065806813</v>
      </c>
    </row>
    <row r="3186" spans="9:11" x14ac:dyDescent="0.25">
      <c r="I3186" s="86">
        <v>3185</v>
      </c>
      <c r="J3186" s="87">
        <v>1.5713605415738225</v>
      </c>
      <c r="K3186" s="87">
        <v>6.0801395467414574</v>
      </c>
    </row>
    <row r="3187" spans="9:11" x14ac:dyDescent="0.25">
      <c r="I3187" s="86">
        <v>3186</v>
      </c>
      <c r="J3187" s="87">
        <v>1.0298406934693594</v>
      </c>
      <c r="K3187" s="87">
        <v>7.3484499115191575</v>
      </c>
    </row>
    <row r="3188" spans="9:11" x14ac:dyDescent="0.25">
      <c r="I3188" s="86">
        <v>3187</v>
      </c>
      <c r="J3188" s="87">
        <v>3.7279830996086893E-2</v>
      </c>
      <c r="K3188" s="87">
        <v>6.1734831946905411</v>
      </c>
    </row>
    <row r="3189" spans="9:11" x14ac:dyDescent="0.25">
      <c r="I3189" s="86">
        <v>3188</v>
      </c>
      <c r="J3189" s="87">
        <v>2.4021008228848935</v>
      </c>
      <c r="K3189" s="87">
        <v>8.5429852742592249</v>
      </c>
    </row>
    <row r="3190" spans="9:11" x14ac:dyDescent="0.25">
      <c r="I3190" s="86">
        <v>3189</v>
      </c>
      <c r="J3190" s="87">
        <v>4.1265754110847022</v>
      </c>
      <c r="K3190" s="87">
        <v>6.5135768919065216</v>
      </c>
    </row>
    <row r="3191" spans="9:11" x14ac:dyDescent="0.25">
      <c r="I3191" s="86">
        <v>3190</v>
      </c>
      <c r="J3191" s="87">
        <v>1.0186491518605099</v>
      </c>
      <c r="K3191" s="87">
        <v>6.1545261187717379</v>
      </c>
    </row>
    <row r="3192" spans="9:11" x14ac:dyDescent="0.25">
      <c r="I3192" s="86">
        <v>3191</v>
      </c>
      <c r="J3192" s="87">
        <v>1.7687819081752352</v>
      </c>
      <c r="K3192" s="87">
        <v>6.2278784209884179</v>
      </c>
    </row>
    <row r="3193" spans="9:11" x14ac:dyDescent="0.25">
      <c r="I3193" s="86">
        <v>3192</v>
      </c>
      <c r="J3193" s="87">
        <v>0.49883270721944584</v>
      </c>
      <c r="K3193" s="87">
        <v>5.5976966530143955</v>
      </c>
    </row>
    <row r="3194" spans="9:11" x14ac:dyDescent="0.25">
      <c r="I3194" s="86">
        <v>3193</v>
      </c>
      <c r="J3194" s="87">
        <v>2.4042535750485534</v>
      </c>
      <c r="K3194" s="87">
        <v>5.9317263506509201</v>
      </c>
    </row>
    <row r="3195" spans="9:11" x14ac:dyDescent="0.25">
      <c r="I3195" s="86">
        <v>3194</v>
      </c>
      <c r="J3195" s="87">
        <v>4.3793422821847612</v>
      </c>
      <c r="K3195" s="87">
        <v>8.5710249867488759</v>
      </c>
    </row>
    <row r="3196" spans="9:11" x14ac:dyDescent="0.25">
      <c r="I3196" s="86">
        <v>3195</v>
      </c>
      <c r="J3196" s="87">
        <v>3.774199222759715</v>
      </c>
      <c r="K3196" s="87">
        <v>9.3993042685647481</v>
      </c>
    </row>
    <row r="3197" spans="9:11" x14ac:dyDescent="0.25">
      <c r="I3197" s="86">
        <v>3196</v>
      </c>
      <c r="J3197" s="87">
        <v>0.94301961366150344</v>
      </c>
      <c r="K3197" s="87">
        <v>6.3976058620808107</v>
      </c>
    </row>
    <row r="3198" spans="9:11" x14ac:dyDescent="0.25">
      <c r="I3198" s="86">
        <v>3197</v>
      </c>
      <c r="J3198" s="87">
        <v>0.54315531981017706</v>
      </c>
      <c r="K3198" s="87">
        <v>4.8462926879069865</v>
      </c>
    </row>
    <row r="3199" spans="9:11" x14ac:dyDescent="0.25">
      <c r="I3199" s="86">
        <v>3198</v>
      </c>
      <c r="J3199" s="87">
        <v>-0.53735000987035431</v>
      </c>
      <c r="K3199" s="87">
        <v>5.4600928478987401</v>
      </c>
    </row>
    <row r="3200" spans="9:11" x14ac:dyDescent="0.25">
      <c r="I3200" s="86">
        <v>3199</v>
      </c>
      <c r="J3200" s="87">
        <v>0.47515839108313029</v>
      </c>
      <c r="K3200" s="87">
        <v>5.2504016794825441</v>
      </c>
    </row>
    <row r="3201" spans="9:11" x14ac:dyDescent="0.25">
      <c r="I3201" s="86">
        <v>3200</v>
      </c>
      <c r="J3201" s="87">
        <v>2.5774979957920383</v>
      </c>
      <c r="K3201" s="87">
        <v>8.4529268825416555</v>
      </c>
    </row>
    <row r="3202" spans="9:11" x14ac:dyDescent="0.25">
      <c r="I3202" s="86">
        <v>3201</v>
      </c>
      <c r="J3202" s="87">
        <v>0.54021176259438164</v>
      </c>
      <c r="K3202" s="87">
        <v>6.0396460391293934</v>
      </c>
    </row>
    <row r="3203" spans="9:11" x14ac:dyDescent="0.25">
      <c r="I3203" s="86">
        <v>3202</v>
      </c>
      <c r="J3203" s="87">
        <v>2.3502004742069849</v>
      </c>
      <c r="K3203" s="87">
        <v>8.5525499369722997</v>
      </c>
    </row>
    <row r="3204" spans="9:11" x14ac:dyDescent="0.25">
      <c r="I3204" s="86">
        <v>3203</v>
      </c>
      <c r="J3204" s="87">
        <v>7.5807869860364629</v>
      </c>
      <c r="K3204" s="87">
        <v>11.145822731747369</v>
      </c>
    </row>
    <row r="3205" spans="9:11" x14ac:dyDescent="0.25">
      <c r="I3205" s="86">
        <v>3204</v>
      </c>
      <c r="J3205" s="87">
        <v>0.7274817534439677</v>
      </c>
      <c r="K3205" s="87">
        <v>6.4478847688105363</v>
      </c>
    </row>
    <row r="3206" spans="9:11" x14ac:dyDescent="0.25">
      <c r="I3206" s="86">
        <v>3205</v>
      </c>
      <c r="J3206" s="87">
        <v>-1.102342536767833</v>
      </c>
      <c r="K3206" s="87">
        <v>6.0189082889021615</v>
      </c>
    </row>
    <row r="3207" spans="9:11" x14ac:dyDescent="0.25">
      <c r="I3207" s="86">
        <v>3206</v>
      </c>
      <c r="J3207" s="87">
        <v>0.58359336263628858</v>
      </c>
      <c r="K3207" s="87">
        <v>5.9532647001022596</v>
      </c>
    </row>
    <row r="3208" spans="9:11" x14ac:dyDescent="0.25">
      <c r="I3208" s="86">
        <v>3207</v>
      </c>
      <c r="J3208" s="87">
        <v>1.5127953539541386</v>
      </c>
      <c r="K3208" s="87">
        <v>7.2695309990926003</v>
      </c>
    </row>
    <row r="3209" spans="9:11" x14ac:dyDescent="0.25">
      <c r="I3209" s="86">
        <v>3208</v>
      </c>
      <c r="J3209" s="87">
        <v>2.1313687524673188</v>
      </c>
      <c r="K3209" s="87">
        <v>8.8399301867221887</v>
      </c>
    </row>
    <row r="3210" spans="9:11" x14ac:dyDescent="0.25">
      <c r="I3210" s="86">
        <v>3209</v>
      </c>
      <c r="J3210" s="87">
        <v>1.6344687778829936</v>
      </c>
      <c r="K3210" s="87">
        <v>7.7093505891196248</v>
      </c>
    </row>
    <row r="3211" spans="9:11" x14ac:dyDescent="0.25">
      <c r="I3211" s="86">
        <v>3210</v>
      </c>
      <c r="J3211" s="87">
        <v>0.10090574973517796</v>
      </c>
      <c r="K3211" s="87">
        <v>7.1137969647970474</v>
      </c>
    </row>
    <row r="3212" spans="9:11" x14ac:dyDescent="0.25">
      <c r="I3212" s="86">
        <v>3211</v>
      </c>
      <c r="J3212" s="87">
        <v>2.3526145882296357</v>
      </c>
      <c r="K3212" s="87">
        <v>7.1381383191870906</v>
      </c>
    </row>
    <row r="3213" spans="9:11" x14ac:dyDescent="0.25">
      <c r="I3213" s="86">
        <v>3212</v>
      </c>
      <c r="J3213" s="87">
        <v>1.9542835654947717</v>
      </c>
      <c r="K3213" s="87">
        <v>4.2621965809922369</v>
      </c>
    </row>
    <row r="3214" spans="9:11" x14ac:dyDescent="0.25">
      <c r="I3214" s="86">
        <v>3213</v>
      </c>
      <c r="J3214" s="87">
        <v>1.3567627503987216</v>
      </c>
      <c r="K3214" s="87">
        <v>6.2307954701927013</v>
      </c>
    </row>
    <row r="3215" spans="9:11" x14ac:dyDescent="0.25">
      <c r="I3215" s="86">
        <v>3214</v>
      </c>
      <c r="J3215" s="87">
        <v>1.2017267189680734</v>
      </c>
      <c r="K3215" s="87">
        <v>5.3799148901033211</v>
      </c>
    </row>
    <row r="3216" spans="9:11" x14ac:dyDescent="0.25">
      <c r="I3216" s="86">
        <v>3215</v>
      </c>
      <c r="J3216" s="87">
        <v>1.4539823287309916</v>
      </c>
      <c r="K3216" s="87">
        <v>8.6592071717258623</v>
      </c>
    </row>
    <row r="3217" spans="9:11" x14ac:dyDescent="0.25">
      <c r="I3217" s="86">
        <v>3216</v>
      </c>
      <c r="J3217" s="87">
        <v>1.6944230727558791</v>
      </c>
      <c r="K3217" s="87">
        <v>7.1341364150303024</v>
      </c>
    </row>
    <row r="3218" spans="9:11" x14ac:dyDescent="0.25">
      <c r="I3218" s="86">
        <v>3217</v>
      </c>
      <c r="J3218" s="87">
        <v>1.6577876055783252</v>
      </c>
      <c r="K3218" s="87">
        <v>7.1995473048815848</v>
      </c>
    </row>
    <row r="3219" spans="9:11" x14ac:dyDescent="0.25">
      <c r="I3219" s="86">
        <v>3218</v>
      </c>
      <c r="J3219" s="87">
        <v>4.2263047516678025</v>
      </c>
      <c r="K3219" s="87">
        <v>10.539376896288248</v>
      </c>
    </row>
    <row r="3220" spans="9:11" x14ac:dyDescent="0.25">
      <c r="I3220" s="86">
        <v>3219</v>
      </c>
      <c r="J3220" s="87">
        <v>0.338488961635659</v>
      </c>
      <c r="K3220" s="87">
        <v>6.0835720526427988</v>
      </c>
    </row>
    <row r="3221" spans="9:11" x14ac:dyDescent="0.25">
      <c r="I3221" s="86">
        <v>3220</v>
      </c>
      <c r="J3221" s="87">
        <v>1.2607726410265405</v>
      </c>
      <c r="K3221" s="87">
        <v>6.5520140684605943</v>
      </c>
    </row>
    <row r="3222" spans="9:11" x14ac:dyDescent="0.25">
      <c r="I3222" s="86">
        <v>3221</v>
      </c>
      <c r="J3222" s="87">
        <v>8.972721052595567E-2</v>
      </c>
      <c r="K3222" s="87">
        <v>6.0532173306806794</v>
      </c>
    </row>
    <row r="3223" spans="9:11" x14ac:dyDescent="0.25">
      <c r="I3223" s="86">
        <v>3222</v>
      </c>
      <c r="J3223" s="87">
        <v>1.1045730456117173</v>
      </c>
      <c r="K3223" s="87">
        <v>7.1897390998529085</v>
      </c>
    </row>
    <row r="3224" spans="9:11" x14ac:dyDescent="0.25">
      <c r="I3224" s="86">
        <v>3223</v>
      </c>
      <c r="J3224" s="87">
        <v>1.9556736268052983</v>
      </c>
      <c r="K3224" s="87">
        <v>9.3121352747784165</v>
      </c>
    </row>
    <row r="3225" spans="9:11" x14ac:dyDescent="0.25">
      <c r="I3225" s="86">
        <v>3224</v>
      </c>
      <c r="J3225" s="87">
        <v>1.0551259165889126</v>
      </c>
      <c r="K3225" s="87">
        <v>5.8450411713360824</v>
      </c>
    </row>
    <row r="3226" spans="9:11" x14ac:dyDescent="0.25">
      <c r="I3226" s="86">
        <v>3225</v>
      </c>
      <c r="J3226" s="87">
        <v>4.1041753785346913E-3</v>
      </c>
      <c r="K3226" s="87">
        <v>6.3735509690970344</v>
      </c>
    </row>
    <row r="3227" spans="9:11" x14ac:dyDescent="0.25">
      <c r="I3227" s="86">
        <v>3226</v>
      </c>
      <c r="J3227" s="87">
        <v>0.30817019631122022</v>
      </c>
      <c r="K3227" s="87">
        <v>6.1828324956826259</v>
      </c>
    </row>
    <row r="3228" spans="9:11" x14ac:dyDescent="0.25">
      <c r="I3228" s="86">
        <v>3227</v>
      </c>
      <c r="J3228" s="87">
        <v>2.6333882477790844</v>
      </c>
      <c r="K3228" s="87">
        <v>6.4365798709596573</v>
      </c>
    </row>
    <row r="3229" spans="9:11" x14ac:dyDescent="0.25">
      <c r="I3229" s="86">
        <v>3228</v>
      </c>
      <c r="J3229" s="87">
        <v>-0.15530859042901035</v>
      </c>
      <c r="K3229" s="87">
        <v>4.8809876538955752</v>
      </c>
    </row>
    <row r="3230" spans="9:11" x14ac:dyDescent="0.25">
      <c r="I3230" s="86">
        <v>3229</v>
      </c>
      <c r="J3230" s="87">
        <v>0.20273732593293747</v>
      </c>
      <c r="K3230" s="87">
        <v>6.377045237579023</v>
      </c>
    </row>
    <row r="3231" spans="9:11" x14ac:dyDescent="0.25">
      <c r="I3231" s="86">
        <v>3230</v>
      </c>
      <c r="J3231" s="87">
        <v>4.7095990335323297</v>
      </c>
      <c r="K3231" s="87">
        <v>7.8660134900828425</v>
      </c>
    </row>
    <row r="3232" spans="9:11" x14ac:dyDescent="0.25">
      <c r="I3232" s="86">
        <v>3231</v>
      </c>
      <c r="J3232" s="87">
        <v>3.950256442165168</v>
      </c>
      <c r="K3232" s="87">
        <v>10.512132532466024</v>
      </c>
    </row>
    <row r="3233" spans="9:11" x14ac:dyDescent="0.25">
      <c r="I3233" s="86">
        <v>3232</v>
      </c>
      <c r="J3233" s="87">
        <v>-0.82986712083680647</v>
      </c>
      <c r="K3233" s="87">
        <v>4.738479373872388</v>
      </c>
    </row>
    <row r="3234" spans="9:11" x14ac:dyDescent="0.25">
      <c r="I3234" s="86">
        <v>3233</v>
      </c>
      <c r="J3234" s="87">
        <v>-0.80416540162124583</v>
      </c>
      <c r="K3234" s="87">
        <v>5.4519138527358724</v>
      </c>
    </row>
    <row r="3235" spans="9:11" x14ac:dyDescent="0.25">
      <c r="I3235" s="86">
        <v>3234</v>
      </c>
      <c r="J3235" s="87">
        <v>1.8939797691674034</v>
      </c>
      <c r="K3235" s="87">
        <v>7.4471431315216954</v>
      </c>
    </row>
    <row r="3236" spans="9:11" x14ac:dyDescent="0.25">
      <c r="I3236" s="86">
        <v>3235</v>
      </c>
      <c r="J3236" s="87">
        <v>-2.2183855198328448</v>
      </c>
      <c r="K3236" s="87">
        <v>5.0545069345073905</v>
      </c>
    </row>
    <row r="3237" spans="9:11" x14ac:dyDescent="0.25">
      <c r="I3237" s="86">
        <v>3236</v>
      </c>
      <c r="J3237" s="87">
        <v>1.9140148354653812</v>
      </c>
      <c r="K3237" s="87">
        <v>6.7998029974862373</v>
      </c>
    </row>
    <row r="3238" spans="9:11" x14ac:dyDescent="0.25">
      <c r="I3238" s="86">
        <v>3237</v>
      </c>
      <c r="J3238" s="87">
        <v>1.799349060144503</v>
      </c>
      <c r="K3238" s="87">
        <v>6.5026473330167143</v>
      </c>
    </row>
    <row r="3239" spans="9:11" x14ac:dyDescent="0.25">
      <c r="I3239" s="86">
        <v>3238</v>
      </c>
      <c r="J3239" s="87">
        <v>1.3212383303204045</v>
      </c>
      <c r="K3239" s="87">
        <v>5.9275018145955842</v>
      </c>
    </row>
    <row r="3240" spans="9:11" x14ac:dyDescent="0.25">
      <c r="I3240" s="86">
        <v>3239</v>
      </c>
      <c r="J3240" s="87">
        <v>2.0316842100660386</v>
      </c>
      <c r="K3240" s="87">
        <v>5.5869116157933068</v>
      </c>
    </row>
    <row r="3241" spans="9:11" x14ac:dyDescent="0.25">
      <c r="I3241" s="86">
        <v>3240</v>
      </c>
      <c r="J3241" s="87">
        <v>2.3337593015899296</v>
      </c>
      <c r="K3241" s="87">
        <v>7.362155827469663</v>
      </c>
    </row>
    <row r="3242" spans="9:11" x14ac:dyDescent="0.25">
      <c r="I3242" s="86">
        <v>3241</v>
      </c>
      <c r="J3242" s="87">
        <v>2.8544338991604157</v>
      </c>
      <c r="K3242" s="87">
        <v>8.3349638077365888</v>
      </c>
    </row>
    <row r="3243" spans="9:11" x14ac:dyDescent="0.25">
      <c r="I3243" s="86">
        <v>3242</v>
      </c>
      <c r="J3243" s="87">
        <v>2.8179593365830158</v>
      </c>
      <c r="K3243" s="87">
        <v>7.4066105005554652</v>
      </c>
    </row>
    <row r="3244" spans="9:11" x14ac:dyDescent="0.25">
      <c r="I3244" s="86">
        <v>3243</v>
      </c>
      <c r="J3244" s="87">
        <v>0.49243076733656643</v>
      </c>
      <c r="K3244" s="87">
        <v>5.4728134913559368</v>
      </c>
    </row>
    <row r="3245" spans="9:11" x14ac:dyDescent="0.25">
      <c r="I3245" s="86">
        <v>3244</v>
      </c>
      <c r="J3245" s="87">
        <v>1.8844793934588662</v>
      </c>
      <c r="K3245" s="87">
        <v>7.2277464369113984</v>
      </c>
    </row>
    <row r="3246" spans="9:11" x14ac:dyDescent="0.25">
      <c r="I3246" s="86">
        <v>3245</v>
      </c>
      <c r="J3246" s="87">
        <v>2.549428222852935</v>
      </c>
      <c r="K3246" s="87">
        <v>6.7892764814086526</v>
      </c>
    </row>
    <row r="3247" spans="9:11" x14ac:dyDescent="0.25">
      <c r="I3247" s="86">
        <v>3246</v>
      </c>
      <c r="J3247" s="87">
        <v>2.0015870055880161</v>
      </c>
      <c r="K3247" s="87">
        <v>7.1733214395442895</v>
      </c>
    </row>
    <row r="3248" spans="9:11" x14ac:dyDescent="0.25">
      <c r="I3248" s="86">
        <v>3247</v>
      </c>
      <c r="J3248" s="87">
        <v>1.9374462088248787</v>
      </c>
      <c r="K3248" s="87">
        <v>8.0649859967423634</v>
      </c>
    </row>
    <row r="3249" spans="9:11" x14ac:dyDescent="0.25">
      <c r="I3249" s="86">
        <v>3248</v>
      </c>
      <c r="J3249" s="87">
        <v>2.846644528635661</v>
      </c>
      <c r="K3249" s="87">
        <v>5.8924441214572827</v>
      </c>
    </row>
    <row r="3250" spans="9:11" x14ac:dyDescent="0.25">
      <c r="I3250" s="86">
        <v>3249</v>
      </c>
      <c r="J3250" s="87">
        <v>-8.670520969787443E-2</v>
      </c>
      <c r="K3250" s="87">
        <v>5.8845512777468016</v>
      </c>
    </row>
    <row r="3251" spans="9:11" x14ac:dyDescent="0.25">
      <c r="I3251" s="86">
        <v>3250</v>
      </c>
      <c r="J3251" s="87">
        <v>1.0779676399692359</v>
      </c>
      <c r="K3251" s="87">
        <v>7.1076665411010298</v>
      </c>
    </row>
    <row r="3252" spans="9:11" x14ac:dyDescent="0.25">
      <c r="I3252" s="86">
        <v>3251</v>
      </c>
      <c r="J3252" s="87">
        <v>0.49912681478980403</v>
      </c>
      <c r="K3252" s="87">
        <v>6.1914944343839871</v>
      </c>
    </row>
    <row r="3253" spans="9:11" x14ac:dyDescent="0.25">
      <c r="I3253" s="86">
        <v>3252</v>
      </c>
      <c r="J3253" s="87">
        <v>-0.71524978600791034</v>
      </c>
      <c r="K3253" s="87">
        <v>6.1451620888527785</v>
      </c>
    </row>
    <row r="3254" spans="9:11" x14ac:dyDescent="0.25">
      <c r="I3254" s="86">
        <v>3253</v>
      </c>
      <c r="J3254" s="87">
        <v>3.7245837286093257</v>
      </c>
      <c r="K3254" s="87">
        <v>8.4794345334730021</v>
      </c>
    </row>
    <row r="3255" spans="9:11" x14ac:dyDescent="0.25">
      <c r="I3255" s="86">
        <v>3254</v>
      </c>
      <c r="J3255" s="87">
        <v>1.9702221967859384</v>
      </c>
      <c r="K3255" s="87">
        <v>6.4530236238762013</v>
      </c>
    </row>
    <row r="3256" spans="9:11" x14ac:dyDescent="0.25">
      <c r="I3256" s="86">
        <v>3255</v>
      </c>
      <c r="J3256" s="87">
        <v>1.3085224206745072</v>
      </c>
      <c r="K3256" s="87">
        <v>6.3722954367013536</v>
      </c>
    </row>
    <row r="3257" spans="9:11" x14ac:dyDescent="0.25">
      <c r="I3257" s="86">
        <v>3256</v>
      </c>
      <c r="J3257" s="87">
        <v>0.36292369541484604</v>
      </c>
      <c r="K3257" s="87">
        <v>5.1739590098965582</v>
      </c>
    </row>
    <row r="3258" spans="9:11" x14ac:dyDescent="0.25">
      <c r="I3258" s="86">
        <v>3257</v>
      </c>
      <c r="J3258" s="87">
        <v>3.5484153085333681</v>
      </c>
      <c r="K3258" s="87">
        <v>8.2478686725197914</v>
      </c>
    </row>
    <row r="3259" spans="9:11" x14ac:dyDescent="0.25">
      <c r="I3259" s="86">
        <v>3258</v>
      </c>
      <c r="J3259" s="87">
        <v>1.8438059908987832</v>
      </c>
      <c r="K3259" s="87">
        <v>6.9807079702677077</v>
      </c>
    </row>
    <row r="3260" spans="9:11" x14ac:dyDescent="0.25">
      <c r="I3260" s="86">
        <v>3259</v>
      </c>
      <c r="J3260" s="87">
        <v>2.8205785141281217</v>
      </c>
      <c r="K3260" s="87">
        <v>7.8925899416664747</v>
      </c>
    </row>
    <row r="3261" spans="9:11" x14ac:dyDescent="0.25">
      <c r="I3261" s="86">
        <v>3260</v>
      </c>
      <c r="J3261" s="87">
        <v>1.7033518850379004</v>
      </c>
      <c r="K3261" s="87">
        <v>6.4991008087961539</v>
      </c>
    </row>
    <row r="3262" spans="9:11" x14ac:dyDescent="0.25">
      <c r="I3262" s="86">
        <v>3261</v>
      </c>
      <c r="J3262" s="87">
        <v>2.1216417325686985</v>
      </c>
      <c r="K3262" s="87">
        <v>6.1751877485050182</v>
      </c>
    </row>
    <row r="3263" spans="9:11" x14ac:dyDescent="0.25">
      <c r="I3263" s="86">
        <v>3262</v>
      </c>
      <c r="J3263" s="87">
        <v>1.8379838922745351</v>
      </c>
      <c r="K3263" s="87">
        <v>4.7180757798979442</v>
      </c>
    </row>
    <row r="3264" spans="9:11" x14ac:dyDescent="0.25">
      <c r="I3264" s="86">
        <v>3263</v>
      </c>
      <c r="J3264" s="87">
        <v>7.0944741801248554</v>
      </c>
      <c r="K3264" s="87">
        <v>10.990014986971859</v>
      </c>
    </row>
    <row r="3265" spans="9:11" x14ac:dyDescent="0.25">
      <c r="I3265" s="86">
        <v>3264</v>
      </c>
      <c r="J3265" s="87">
        <v>2.7073293999990611</v>
      </c>
      <c r="K3265" s="87">
        <v>6.2978462487973239</v>
      </c>
    </row>
    <row r="3266" spans="9:11" x14ac:dyDescent="0.25">
      <c r="I3266" s="86">
        <v>3265</v>
      </c>
      <c r="J3266" s="87">
        <v>2.0273480937841448</v>
      </c>
      <c r="K3266" s="87">
        <v>7.7900712365293083</v>
      </c>
    </row>
    <row r="3267" spans="9:11" x14ac:dyDescent="0.25">
      <c r="I3267" s="86">
        <v>3266</v>
      </c>
      <c r="J3267" s="87">
        <v>1.1437858333654467</v>
      </c>
      <c r="K3267" s="87">
        <v>4.7437523331995566</v>
      </c>
    </row>
    <row r="3268" spans="9:11" x14ac:dyDescent="0.25">
      <c r="I3268" s="86">
        <v>3267</v>
      </c>
      <c r="J3268" s="87">
        <v>1.6598229384398295</v>
      </c>
      <c r="K3268" s="87">
        <v>5.6077440673106809</v>
      </c>
    </row>
    <row r="3269" spans="9:11" x14ac:dyDescent="0.25">
      <c r="I3269" s="86">
        <v>3268</v>
      </c>
      <c r="J3269" s="87">
        <v>0.62768817066885685</v>
      </c>
      <c r="K3269" s="87">
        <v>6.6169395243906477</v>
      </c>
    </row>
    <row r="3270" spans="9:11" x14ac:dyDescent="0.25">
      <c r="I3270" s="86">
        <v>3269</v>
      </c>
      <c r="J3270" s="87">
        <v>3.0827383381247717</v>
      </c>
      <c r="K3270" s="87">
        <v>6.4541264976387307</v>
      </c>
    </row>
    <row r="3271" spans="9:11" x14ac:dyDescent="0.25">
      <c r="I3271" s="86">
        <v>3270</v>
      </c>
      <c r="J3271" s="87">
        <v>0.78180056064487324</v>
      </c>
      <c r="K3271" s="87">
        <v>6.9898853938005878</v>
      </c>
    </row>
    <row r="3272" spans="9:11" x14ac:dyDescent="0.25">
      <c r="I3272" s="86">
        <v>3271</v>
      </c>
      <c r="J3272" s="87">
        <v>4.7238436337627911</v>
      </c>
      <c r="K3272" s="87">
        <v>5.9500382289684808</v>
      </c>
    </row>
    <row r="3273" spans="9:11" x14ac:dyDescent="0.25">
      <c r="I3273" s="86">
        <v>3272</v>
      </c>
      <c r="J3273" s="87">
        <v>1.0436083298816623</v>
      </c>
      <c r="K3273" s="87">
        <v>6.6320828292541201</v>
      </c>
    </row>
    <row r="3274" spans="9:11" x14ac:dyDescent="0.25">
      <c r="I3274" s="86">
        <v>3273</v>
      </c>
      <c r="J3274" s="87">
        <v>1.8718982123213657E-2</v>
      </c>
      <c r="K3274" s="87">
        <v>6.5081440956345409</v>
      </c>
    </row>
    <row r="3275" spans="9:11" x14ac:dyDescent="0.25">
      <c r="I3275" s="86">
        <v>3274</v>
      </c>
      <c r="J3275" s="87">
        <v>2.2100408833240746</v>
      </c>
      <c r="K3275" s="87">
        <v>8.1211233394270952</v>
      </c>
    </row>
    <row r="3276" spans="9:11" x14ac:dyDescent="0.25">
      <c r="I3276" s="86">
        <v>3275</v>
      </c>
      <c r="J3276" s="87">
        <v>-0.16317226077374514</v>
      </c>
      <c r="K3276" s="87">
        <v>5.3505642069244921</v>
      </c>
    </row>
    <row r="3277" spans="9:11" x14ac:dyDescent="0.25">
      <c r="I3277" s="86">
        <v>3276</v>
      </c>
      <c r="J3277" s="87">
        <v>0.95663527364060563</v>
      </c>
      <c r="K3277" s="87">
        <v>7.8869607161318704</v>
      </c>
    </row>
    <row r="3278" spans="9:11" x14ac:dyDescent="0.25">
      <c r="I3278" s="86">
        <v>3277</v>
      </c>
      <c r="J3278" s="87">
        <v>3.6360051053557241</v>
      </c>
      <c r="K3278" s="87">
        <v>8.9015440758145825</v>
      </c>
    </row>
    <row r="3279" spans="9:11" x14ac:dyDescent="0.25">
      <c r="I3279" s="86">
        <v>3278</v>
      </c>
      <c r="J3279" s="87">
        <v>1.2854195698675781</v>
      </c>
      <c r="K3279" s="87">
        <v>7.3218257558512176</v>
      </c>
    </row>
    <row r="3280" spans="9:11" x14ac:dyDescent="0.25">
      <c r="I3280" s="86">
        <v>3279</v>
      </c>
      <c r="J3280" s="87">
        <v>1.5434977552569151</v>
      </c>
      <c r="K3280" s="87">
        <v>7.2467541480618642</v>
      </c>
    </row>
    <row r="3281" spans="9:11" x14ac:dyDescent="0.25">
      <c r="I3281" s="86">
        <v>3280</v>
      </c>
      <c r="J3281" s="87">
        <v>0.43661771030641017</v>
      </c>
      <c r="K3281" s="87">
        <v>6.4786449197394855</v>
      </c>
    </row>
    <row r="3282" spans="9:11" x14ac:dyDescent="0.25">
      <c r="I3282" s="86">
        <v>3281</v>
      </c>
      <c r="J3282" s="87">
        <v>1.1191998016730595</v>
      </c>
      <c r="K3282" s="87">
        <v>5.439117809353152</v>
      </c>
    </row>
    <row r="3283" spans="9:11" x14ac:dyDescent="0.25">
      <c r="I3283" s="86">
        <v>3282</v>
      </c>
      <c r="J3283" s="87">
        <v>1.8334621678846768</v>
      </c>
      <c r="K3283" s="87">
        <v>7.7535625054572472</v>
      </c>
    </row>
    <row r="3284" spans="9:11" x14ac:dyDescent="0.25">
      <c r="I3284" s="86">
        <v>3283</v>
      </c>
      <c r="J3284" s="87">
        <v>1.1893683473579482</v>
      </c>
      <c r="K3284" s="87">
        <v>5.6419997514112543</v>
      </c>
    </row>
    <row r="3285" spans="9:11" x14ac:dyDescent="0.25">
      <c r="I3285" s="86">
        <v>3284</v>
      </c>
      <c r="J3285" s="87">
        <v>-0.30822599662568884</v>
      </c>
      <c r="K3285" s="87">
        <v>5.4323443013251964</v>
      </c>
    </row>
    <row r="3286" spans="9:11" x14ac:dyDescent="0.25">
      <c r="I3286" s="86">
        <v>3285</v>
      </c>
      <c r="J3286" s="87">
        <v>1.8560266710357709</v>
      </c>
      <c r="K3286" s="87">
        <v>6.454908140916972</v>
      </c>
    </row>
    <row r="3287" spans="9:11" x14ac:dyDescent="0.25">
      <c r="I3287" s="86">
        <v>3286</v>
      </c>
      <c r="J3287" s="87">
        <v>1.428869714565697</v>
      </c>
      <c r="K3287" s="87">
        <v>7.2245409924135275</v>
      </c>
    </row>
    <row r="3288" spans="9:11" x14ac:dyDescent="0.25">
      <c r="I3288" s="86">
        <v>3287</v>
      </c>
      <c r="J3288" s="87">
        <v>2.0024478416792686</v>
      </c>
      <c r="K3288" s="87">
        <v>6.4571782876089117</v>
      </c>
    </row>
    <row r="3289" spans="9:11" x14ac:dyDescent="0.25">
      <c r="I3289" s="86">
        <v>3288</v>
      </c>
      <c r="J3289" s="87">
        <v>1.7893715759960527</v>
      </c>
      <c r="K3289" s="87">
        <v>7.5880890853260823</v>
      </c>
    </row>
    <row r="3290" spans="9:11" x14ac:dyDescent="0.25">
      <c r="I3290" s="86">
        <v>3289</v>
      </c>
      <c r="J3290" s="87">
        <v>3.4738078141061282</v>
      </c>
      <c r="K3290" s="87">
        <v>7.4247128196006837</v>
      </c>
    </row>
    <row r="3291" spans="9:11" x14ac:dyDescent="0.25">
      <c r="I3291" s="86">
        <v>3290</v>
      </c>
      <c r="J3291" s="87">
        <v>-0.85426985942917355</v>
      </c>
      <c r="K3291" s="87">
        <v>4.9487540521365405</v>
      </c>
    </row>
    <row r="3292" spans="9:11" x14ac:dyDescent="0.25">
      <c r="I3292" s="86">
        <v>3291</v>
      </c>
      <c r="J3292" s="87">
        <v>4.7053893271498977</v>
      </c>
      <c r="K3292" s="87">
        <v>8.2635240285044027</v>
      </c>
    </row>
    <row r="3293" spans="9:11" x14ac:dyDescent="0.25">
      <c r="I3293" s="86">
        <v>3292</v>
      </c>
      <c r="J3293" s="87">
        <v>2.0137067087787726</v>
      </c>
      <c r="K3293" s="87">
        <v>8.6197593226508857</v>
      </c>
    </row>
    <row r="3294" spans="9:11" x14ac:dyDescent="0.25">
      <c r="I3294" s="86">
        <v>3293</v>
      </c>
      <c r="J3294" s="87">
        <v>0.27135065323468055</v>
      </c>
      <c r="K3294" s="87">
        <v>6.18699277862674</v>
      </c>
    </row>
    <row r="3295" spans="9:11" x14ac:dyDescent="0.25">
      <c r="I3295" s="86">
        <v>3294</v>
      </c>
      <c r="J3295" s="87">
        <v>0.58673675933115454</v>
      </c>
      <c r="K3295" s="87">
        <v>6.042715033404944</v>
      </c>
    </row>
    <row r="3296" spans="9:11" x14ac:dyDescent="0.25">
      <c r="I3296" s="86">
        <v>3295</v>
      </c>
      <c r="J3296" s="87">
        <v>2.3439347828924619</v>
      </c>
      <c r="K3296" s="87">
        <v>7.0348677965816311</v>
      </c>
    </row>
    <row r="3297" spans="9:11" x14ac:dyDescent="0.25">
      <c r="I3297" s="86">
        <v>3296</v>
      </c>
      <c r="J3297" s="87">
        <v>1.2889800234397097</v>
      </c>
      <c r="K3297" s="87">
        <v>5.6116312588131541</v>
      </c>
    </row>
    <row r="3298" spans="9:11" x14ac:dyDescent="0.25">
      <c r="I3298" s="86">
        <v>3297</v>
      </c>
      <c r="J3298" s="87">
        <v>8.5750444160271773</v>
      </c>
      <c r="K3298" s="87">
        <v>10.774242655176227</v>
      </c>
    </row>
    <row r="3299" spans="9:11" x14ac:dyDescent="0.25">
      <c r="I3299" s="86">
        <v>3298</v>
      </c>
      <c r="J3299" s="87">
        <v>-1.1217394362867439</v>
      </c>
      <c r="K3299" s="87">
        <v>3.9850953534682154</v>
      </c>
    </row>
    <row r="3300" spans="9:11" x14ac:dyDescent="0.25">
      <c r="I3300" s="86">
        <v>3299</v>
      </c>
      <c r="J3300" s="87">
        <v>0.27197797667590606</v>
      </c>
      <c r="K3300" s="87">
        <v>6.4615978665087113</v>
      </c>
    </row>
    <row r="3301" spans="9:11" x14ac:dyDescent="0.25">
      <c r="I3301" s="86">
        <v>3300</v>
      </c>
      <c r="J3301" s="87">
        <v>9.4841715168015703</v>
      </c>
      <c r="K3301" s="87">
        <v>12.824570768412126</v>
      </c>
    </row>
    <row r="3302" spans="9:11" x14ac:dyDescent="0.25">
      <c r="I3302" s="86">
        <v>3301</v>
      </c>
      <c r="J3302" s="87">
        <v>-1.0022591841684925</v>
      </c>
      <c r="K3302" s="87">
        <v>5.2008088064086184</v>
      </c>
    </row>
    <row r="3303" spans="9:11" x14ac:dyDescent="0.25">
      <c r="I3303" s="86">
        <v>3302</v>
      </c>
      <c r="J3303" s="87">
        <v>6.865101292298986</v>
      </c>
      <c r="K3303" s="87">
        <v>9.5780923283415493</v>
      </c>
    </row>
    <row r="3304" spans="9:11" x14ac:dyDescent="0.25">
      <c r="I3304" s="86">
        <v>3303</v>
      </c>
      <c r="J3304" s="87">
        <v>-0.70665831230619158</v>
      </c>
      <c r="K3304" s="87">
        <v>4.4105319949756598</v>
      </c>
    </row>
    <row r="3305" spans="9:11" x14ac:dyDescent="0.25">
      <c r="I3305" s="86">
        <v>3304</v>
      </c>
      <c r="J3305" s="87">
        <v>5.9004834562287058</v>
      </c>
      <c r="K3305" s="87">
        <v>10.588407467614029</v>
      </c>
    </row>
    <row r="3306" spans="9:11" x14ac:dyDescent="0.25">
      <c r="I3306" s="86">
        <v>3305</v>
      </c>
      <c r="J3306" s="87">
        <v>0.25847006219328783</v>
      </c>
      <c r="K3306" s="87">
        <v>5.7211129966132832</v>
      </c>
    </row>
    <row r="3307" spans="9:11" x14ac:dyDescent="0.25">
      <c r="I3307" s="86">
        <v>3306</v>
      </c>
      <c r="J3307" s="87">
        <v>1.7822549836191754</v>
      </c>
      <c r="K3307" s="87">
        <v>6.6048885661905441</v>
      </c>
    </row>
    <row r="3308" spans="9:11" x14ac:dyDescent="0.25">
      <c r="I3308" s="86">
        <v>3307</v>
      </c>
      <c r="J3308" s="87">
        <v>1.5541710894316854</v>
      </c>
      <c r="K3308" s="87">
        <v>7.999464134128714</v>
      </c>
    </row>
    <row r="3309" spans="9:11" x14ac:dyDescent="0.25">
      <c r="I3309" s="86">
        <v>3308</v>
      </c>
      <c r="J3309" s="87">
        <v>0.48850216704838978</v>
      </c>
      <c r="K3309" s="87">
        <v>6.1626567229340035</v>
      </c>
    </row>
    <row r="3310" spans="9:11" x14ac:dyDescent="0.25">
      <c r="I3310" s="86">
        <v>3309</v>
      </c>
      <c r="J3310" s="87">
        <v>-2.2415328837590565E-3</v>
      </c>
      <c r="K3310" s="87">
        <v>4.8980686649508636</v>
      </c>
    </row>
    <row r="3311" spans="9:11" x14ac:dyDescent="0.25">
      <c r="I3311" s="86">
        <v>3310</v>
      </c>
      <c r="J3311" s="87">
        <v>1.7320614410771187</v>
      </c>
      <c r="K3311" s="87">
        <v>5.4595311885921252</v>
      </c>
    </row>
    <row r="3312" spans="9:11" x14ac:dyDescent="0.25">
      <c r="I3312" s="86">
        <v>3311</v>
      </c>
      <c r="J3312" s="87">
        <v>0.55918534428927069</v>
      </c>
      <c r="K3312" s="87">
        <v>4.5004521297292985</v>
      </c>
    </row>
    <row r="3313" spans="9:11" x14ac:dyDescent="0.25">
      <c r="I3313" s="86">
        <v>3312</v>
      </c>
      <c r="J3313" s="87">
        <v>0.30049387116427084</v>
      </c>
      <c r="K3313" s="87">
        <v>6.5019025480576138</v>
      </c>
    </row>
    <row r="3314" spans="9:11" x14ac:dyDescent="0.25">
      <c r="I3314" s="86">
        <v>3313</v>
      </c>
      <c r="J3314" s="87">
        <v>0.83223495757645694</v>
      </c>
      <c r="K3314" s="87">
        <v>5.5566833021032416</v>
      </c>
    </row>
    <row r="3315" spans="9:11" x14ac:dyDescent="0.25">
      <c r="I3315" s="86">
        <v>3314</v>
      </c>
      <c r="J3315" s="87">
        <v>0.3514843167710886</v>
      </c>
      <c r="K3315" s="87">
        <v>4.9247401729171392</v>
      </c>
    </row>
    <row r="3316" spans="9:11" x14ac:dyDescent="0.25">
      <c r="I3316" s="86">
        <v>3315</v>
      </c>
      <c r="J3316" s="87">
        <v>0.34281386180461659</v>
      </c>
      <c r="K3316" s="87">
        <v>6.5083114233427564</v>
      </c>
    </row>
    <row r="3317" spans="9:11" x14ac:dyDescent="0.25">
      <c r="I3317" s="86">
        <v>3316</v>
      </c>
      <c r="J3317" s="87">
        <v>2.916048517545625</v>
      </c>
      <c r="K3317" s="87">
        <v>7.0132497728546559</v>
      </c>
    </row>
    <row r="3318" spans="9:11" x14ac:dyDescent="0.25">
      <c r="I3318" s="86">
        <v>3317</v>
      </c>
      <c r="J3318" s="87">
        <v>4.122199676353814</v>
      </c>
      <c r="K3318" s="87">
        <v>8.3150430983290651</v>
      </c>
    </row>
    <row r="3319" spans="9:11" x14ac:dyDescent="0.25">
      <c r="I3319" s="86">
        <v>3318</v>
      </c>
      <c r="J3319" s="87">
        <v>-2.7351241403284128</v>
      </c>
      <c r="K3319" s="87">
        <v>5.7250660733815657</v>
      </c>
    </row>
    <row r="3320" spans="9:11" x14ac:dyDescent="0.25">
      <c r="I3320" s="86">
        <v>3319</v>
      </c>
      <c r="J3320" s="87">
        <v>2.3240616701923118</v>
      </c>
      <c r="K3320" s="87">
        <v>5.7140800378700076</v>
      </c>
    </row>
    <row r="3321" spans="9:11" x14ac:dyDescent="0.25">
      <c r="I3321" s="86">
        <v>3320</v>
      </c>
      <c r="J3321" s="87">
        <v>0.74397022999824403</v>
      </c>
      <c r="K3321" s="87">
        <v>5.6720656924366102</v>
      </c>
    </row>
    <row r="3322" spans="9:11" x14ac:dyDescent="0.25">
      <c r="I3322" s="86">
        <v>3321</v>
      </c>
      <c r="J3322" s="87">
        <v>1.1945512073044249</v>
      </c>
      <c r="K3322" s="87">
        <v>5.2629333477524263</v>
      </c>
    </row>
    <row r="3323" spans="9:11" x14ac:dyDescent="0.25">
      <c r="I3323" s="86">
        <v>3322</v>
      </c>
      <c r="J3323" s="87">
        <v>1.6599164334477061</v>
      </c>
      <c r="K3323" s="87">
        <v>7.8279381804751296</v>
      </c>
    </row>
    <row r="3324" spans="9:11" x14ac:dyDescent="0.25">
      <c r="I3324" s="86">
        <v>3323</v>
      </c>
      <c r="J3324" s="87">
        <v>1.928121369430853</v>
      </c>
      <c r="K3324" s="87">
        <v>6.2716210802526566</v>
      </c>
    </row>
    <row r="3325" spans="9:11" x14ac:dyDescent="0.25">
      <c r="I3325" s="86">
        <v>3324</v>
      </c>
      <c r="J3325" s="87">
        <v>0.48455459018383529</v>
      </c>
      <c r="K3325" s="87">
        <v>6.9719950321642319</v>
      </c>
    </row>
    <row r="3326" spans="9:11" x14ac:dyDescent="0.25">
      <c r="I3326" s="86">
        <v>3325</v>
      </c>
      <c r="J3326" s="87">
        <v>0.2894261743591553</v>
      </c>
      <c r="K3326" s="87">
        <v>5.5823929644857424</v>
      </c>
    </row>
    <row r="3327" spans="9:11" x14ac:dyDescent="0.25">
      <c r="I3327" s="86">
        <v>3326</v>
      </c>
      <c r="J3327" s="87">
        <v>-0.44550393288161505</v>
      </c>
      <c r="K3327" s="87">
        <v>5.2399862302110281</v>
      </c>
    </row>
    <row r="3328" spans="9:11" x14ac:dyDescent="0.25">
      <c r="I3328" s="86">
        <v>3327</v>
      </c>
      <c r="J3328" s="87">
        <v>-1.2056350696029607</v>
      </c>
      <c r="K3328" s="87">
        <v>4.7335986546400415</v>
      </c>
    </row>
    <row r="3329" spans="9:11" x14ac:dyDescent="0.25">
      <c r="I3329" s="86">
        <v>3328</v>
      </c>
      <c r="J3329" s="87">
        <v>2.0766150132174923</v>
      </c>
      <c r="K3329" s="87">
        <v>6.2022002966928049</v>
      </c>
    </row>
    <row r="3330" spans="9:11" x14ac:dyDescent="0.25">
      <c r="I3330" s="86">
        <v>3329</v>
      </c>
      <c r="J3330" s="87">
        <v>-5.7622552147596373E-2</v>
      </c>
      <c r="K3330" s="87">
        <v>6.4057088567144973</v>
      </c>
    </row>
    <row r="3331" spans="9:11" x14ac:dyDescent="0.25">
      <c r="I3331" s="86">
        <v>3330</v>
      </c>
      <c r="J3331" s="87">
        <v>5.469242839816097</v>
      </c>
      <c r="K3331" s="87">
        <v>8.2875167430400722</v>
      </c>
    </row>
    <row r="3332" spans="9:11" x14ac:dyDescent="0.25">
      <c r="I3332" s="86">
        <v>3331</v>
      </c>
      <c r="J3332" s="87">
        <v>0.52794439950024596</v>
      </c>
      <c r="K3332" s="87">
        <v>7.7885198109888929</v>
      </c>
    </row>
    <row r="3333" spans="9:11" x14ac:dyDescent="0.25">
      <c r="I3333" s="86">
        <v>3332</v>
      </c>
      <c r="J3333" s="87">
        <v>3.0914402923619502</v>
      </c>
      <c r="K3333" s="87">
        <v>8.1724533446551195</v>
      </c>
    </row>
    <row r="3334" spans="9:11" x14ac:dyDescent="0.25">
      <c r="I3334" s="86">
        <v>3333</v>
      </c>
      <c r="J3334" s="87">
        <v>1.6035278526734036</v>
      </c>
      <c r="K3334" s="87">
        <v>7.8729271924185555</v>
      </c>
    </row>
    <row r="3335" spans="9:11" x14ac:dyDescent="0.25">
      <c r="I3335" s="86">
        <v>3334</v>
      </c>
      <c r="J3335" s="87">
        <v>0.803088713757238</v>
      </c>
      <c r="K3335" s="87">
        <v>6.3221659596872168</v>
      </c>
    </row>
    <row r="3336" spans="9:11" x14ac:dyDescent="0.25">
      <c r="I3336" s="86">
        <v>3335</v>
      </c>
      <c r="J3336" s="87">
        <v>1.9483642925001545</v>
      </c>
      <c r="K3336" s="87">
        <v>7.7905344017406115</v>
      </c>
    </row>
    <row r="3337" spans="9:11" x14ac:dyDescent="0.25">
      <c r="I3337" s="86">
        <v>3336</v>
      </c>
      <c r="J3337" s="87">
        <v>0.88171699299861572</v>
      </c>
      <c r="K3337" s="87">
        <v>6.3629759724418333</v>
      </c>
    </row>
    <row r="3338" spans="9:11" x14ac:dyDescent="0.25">
      <c r="I3338" s="86">
        <v>3337</v>
      </c>
      <c r="J3338" s="87">
        <v>3.2410091428697347</v>
      </c>
      <c r="K3338" s="87">
        <v>7.6525557669402513</v>
      </c>
    </row>
    <row r="3339" spans="9:11" x14ac:dyDescent="0.25">
      <c r="I3339" s="86">
        <v>3338</v>
      </c>
      <c r="J3339" s="87">
        <v>4.3506481342253371</v>
      </c>
      <c r="K3339" s="87">
        <v>7.6790027515396879</v>
      </c>
    </row>
    <row r="3340" spans="9:11" x14ac:dyDescent="0.25">
      <c r="I3340" s="86">
        <v>3339</v>
      </c>
      <c r="J3340" s="87">
        <v>4.0501366436319444</v>
      </c>
      <c r="K3340" s="87">
        <v>10.7330386863378</v>
      </c>
    </row>
    <row r="3341" spans="9:11" x14ac:dyDescent="0.25">
      <c r="I3341" s="86">
        <v>3340</v>
      </c>
      <c r="J3341" s="87">
        <v>1.871440850482986</v>
      </c>
      <c r="K3341" s="87">
        <v>6.8931643129801934</v>
      </c>
    </row>
    <row r="3342" spans="9:11" x14ac:dyDescent="0.25">
      <c r="I3342" s="86">
        <v>3341</v>
      </c>
      <c r="J3342" s="87">
        <v>1.748879408179322</v>
      </c>
      <c r="K3342" s="87">
        <v>7.9026885744561719</v>
      </c>
    </row>
    <row r="3343" spans="9:11" x14ac:dyDescent="0.25">
      <c r="I3343" s="86">
        <v>3342</v>
      </c>
      <c r="J3343" s="87">
        <v>3.5704447281315055E-3</v>
      </c>
      <c r="K3343" s="87">
        <v>5.4983549322610434</v>
      </c>
    </row>
    <row r="3344" spans="9:11" x14ac:dyDescent="0.25">
      <c r="I3344" s="86">
        <v>3343</v>
      </c>
      <c r="J3344" s="87">
        <v>4.1542794380959247</v>
      </c>
      <c r="K3344" s="87">
        <v>9.6092469178331275</v>
      </c>
    </row>
    <row r="3345" spans="9:11" x14ac:dyDescent="0.25">
      <c r="I3345" s="86">
        <v>3344</v>
      </c>
      <c r="J3345" s="87">
        <v>1.1250401055986083</v>
      </c>
      <c r="K3345" s="87">
        <v>6.7790157692179553</v>
      </c>
    </row>
    <row r="3346" spans="9:11" x14ac:dyDescent="0.25">
      <c r="I3346" s="86">
        <v>3345</v>
      </c>
      <c r="J3346" s="87">
        <v>-1.475696303331973</v>
      </c>
      <c r="K3346" s="87">
        <v>4.6104763713350065</v>
      </c>
    </row>
    <row r="3347" spans="9:11" x14ac:dyDescent="0.25">
      <c r="I3347" s="86">
        <v>3346</v>
      </c>
      <c r="J3347" s="87">
        <v>5.1921659151958224</v>
      </c>
      <c r="K3347" s="87">
        <v>11.553667661119682</v>
      </c>
    </row>
    <row r="3348" spans="9:11" x14ac:dyDescent="0.25">
      <c r="I3348" s="86">
        <v>3347</v>
      </c>
      <c r="J3348" s="87">
        <v>1.9232401545618947</v>
      </c>
      <c r="K3348" s="87">
        <v>5.9030827743583671</v>
      </c>
    </row>
    <row r="3349" spans="9:11" x14ac:dyDescent="0.25">
      <c r="I3349" s="86">
        <v>3348</v>
      </c>
      <c r="J3349" s="87">
        <v>3.1908531383931988</v>
      </c>
      <c r="K3349" s="87">
        <v>9.5225156306694849</v>
      </c>
    </row>
    <row r="3350" spans="9:11" x14ac:dyDescent="0.25">
      <c r="I3350" s="86">
        <v>3349</v>
      </c>
      <c r="J3350" s="87">
        <v>5.4250683091718157</v>
      </c>
      <c r="K3350" s="87">
        <v>9.1970519262587285</v>
      </c>
    </row>
    <row r="3351" spans="9:11" x14ac:dyDescent="0.25">
      <c r="I3351" s="86">
        <v>3350</v>
      </c>
      <c r="J3351" s="87">
        <v>3.591284076154043</v>
      </c>
      <c r="K3351" s="87">
        <v>10.340686877969125</v>
      </c>
    </row>
    <row r="3352" spans="9:11" x14ac:dyDescent="0.25">
      <c r="I3352" s="86">
        <v>3351</v>
      </c>
      <c r="J3352" s="87">
        <v>-0.46589784210104757</v>
      </c>
      <c r="K3352" s="87">
        <v>5.6207145592796683</v>
      </c>
    </row>
    <row r="3353" spans="9:11" x14ac:dyDescent="0.25">
      <c r="I3353" s="86">
        <v>3352</v>
      </c>
      <c r="J3353" s="87">
        <v>0.10131247533107501</v>
      </c>
      <c r="K3353" s="87">
        <v>5.6978040067558506</v>
      </c>
    </row>
    <row r="3354" spans="9:11" x14ac:dyDescent="0.25">
      <c r="I3354" s="86">
        <v>3353</v>
      </c>
      <c r="J3354" s="87">
        <v>4.015385039395837</v>
      </c>
      <c r="K3354" s="87">
        <v>8.3151207169318777</v>
      </c>
    </row>
    <row r="3355" spans="9:11" x14ac:dyDescent="0.25">
      <c r="I3355" s="86">
        <v>3354</v>
      </c>
      <c r="J3355" s="87">
        <v>-1.6379853153194697</v>
      </c>
      <c r="K3355" s="87">
        <v>5.8700169903971524</v>
      </c>
    </row>
    <row r="3356" spans="9:11" x14ac:dyDescent="0.25">
      <c r="I3356" s="86">
        <v>3355</v>
      </c>
      <c r="J3356" s="87">
        <v>5.0380982414925981</v>
      </c>
      <c r="K3356" s="87">
        <v>10.701848986754413</v>
      </c>
    </row>
    <row r="3357" spans="9:11" x14ac:dyDescent="0.25">
      <c r="I3357" s="86">
        <v>3356</v>
      </c>
      <c r="J3357" s="87">
        <v>-0.91818132715187328</v>
      </c>
      <c r="K3357" s="87">
        <v>5.214279112467354</v>
      </c>
    </row>
    <row r="3358" spans="9:11" x14ac:dyDescent="0.25">
      <c r="I3358" s="86">
        <v>3357</v>
      </c>
      <c r="J3358" s="87">
        <v>-0.59532879938987104</v>
      </c>
      <c r="K3358" s="87">
        <v>5.7205796641241298</v>
      </c>
    </row>
    <row r="3359" spans="9:11" x14ac:dyDescent="0.25">
      <c r="I3359" s="86">
        <v>3358</v>
      </c>
      <c r="J3359" s="87">
        <v>1.9314765531944884</v>
      </c>
      <c r="K3359" s="87">
        <v>7.1952874909490356</v>
      </c>
    </row>
    <row r="3360" spans="9:11" x14ac:dyDescent="0.25">
      <c r="I3360" s="86">
        <v>3359</v>
      </c>
      <c r="J3360" s="87">
        <v>1.8588576931247278</v>
      </c>
      <c r="K3360" s="87">
        <v>8.7392278846569464</v>
      </c>
    </row>
    <row r="3361" spans="9:11" x14ac:dyDescent="0.25">
      <c r="I3361" s="86">
        <v>3360</v>
      </c>
      <c r="J3361" s="87">
        <v>2.3356484066154568</v>
      </c>
      <c r="K3361" s="87">
        <v>8.776516725101704</v>
      </c>
    </row>
    <row r="3362" spans="9:11" x14ac:dyDescent="0.25">
      <c r="I3362" s="86">
        <v>3361</v>
      </c>
      <c r="J3362" s="87">
        <v>0.7789601787696121</v>
      </c>
      <c r="K3362" s="87">
        <v>6.1267881186350719</v>
      </c>
    </row>
    <row r="3363" spans="9:11" x14ac:dyDescent="0.25">
      <c r="I3363" s="86">
        <v>3362</v>
      </c>
      <c r="J3363" s="87">
        <v>0.25952153270859935</v>
      </c>
      <c r="K3363" s="87">
        <v>6.0753854737326938</v>
      </c>
    </row>
    <row r="3364" spans="9:11" x14ac:dyDescent="0.25">
      <c r="I3364" s="86">
        <v>3363</v>
      </c>
      <c r="J3364" s="87">
        <v>0.4212367691130714</v>
      </c>
      <c r="K3364" s="87">
        <v>6.1467254643826799</v>
      </c>
    </row>
    <row r="3365" spans="9:11" x14ac:dyDescent="0.25">
      <c r="I3365" s="86">
        <v>3364</v>
      </c>
      <c r="J3365" s="87">
        <v>3.2403173061956698</v>
      </c>
      <c r="K3365" s="87">
        <v>8.5243902726298995</v>
      </c>
    </row>
    <row r="3366" spans="9:11" x14ac:dyDescent="0.25">
      <c r="I3366" s="86">
        <v>3365</v>
      </c>
      <c r="J3366" s="87">
        <v>-1.7920816052584154</v>
      </c>
      <c r="K3366" s="87">
        <v>4.3773563857913107</v>
      </c>
    </row>
    <row r="3367" spans="9:11" x14ac:dyDescent="0.25">
      <c r="I3367" s="86">
        <v>3366</v>
      </c>
      <c r="J3367" s="87">
        <v>6.7798775320068341</v>
      </c>
      <c r="K3367" s="87">
        <v>7.7342563440151153</v>
      </c>
    </row>
    <row r="3368" spans="9:11" x14ac:dyDescent="0.25">
      <c r="I3368" s="86">
        <v>3367</v>
      </c>
      <c r="J3368" s="87">
        <v>-0.58786081984968686</v>
      </c>
      <c r="K3368" s="87">
        <v>4.326088494628852</v>
      </c>
    </row>
    <row r="3369" spans="9:11" x14ac:dyDescent="0.25">
      <c r="I3369" s="86">
        <v>3368</v>
      </c>
      <c r="J3369" s="87">
        <v>0.39847642909532688</v>
      </c>
      <c r="K3369" s="87">
        <v>5.7167599393190871</v>
      </c>
    </row>
    <row r="3370" spans="9:11" x14ac:dyDescent="0.25">
      <c r="I3370" s="86">
        <v>3369</v>
      </c>
      <c r="J3370" s="87">
        <v>1.2446582212080228</v>
      </c>
      <c r="K3370" s="87">
        <v>7.9803644472925592</v>
      </c>
    </row>
    <row r="3371" spans="9:11" x14ac:dyDescent="0.25">
      <c r="I3371" s="86">
        <v>3370</v>
      </c>
      <c r="J3371" s="87">
        <v>3.9509456803200607</v>
      </c>
      <c r="K3371" s="87">
        <v>8.8589674192057615</v>
      </c>
    </row>
    <row r="3372" spans="9:11" x14ac:dyDescent="0.25">
      <c r="I3372" s="86">
        <v>3371</v>
      </c>
      <c r="J3372" s="87">
        <v>0.40657609973141007</v>
      </c>
      <c r="K3372" s="87">
        <v>5.3870449710729966</v>
      </c>
    </row>
    <row r="3373" spans="9:11" x14ac:dyDescent="0.25">
      <c r="I3373" s="86">
        <v>3372</v>
      </c>
      <c r="J3373" s="87">
        <v>4.294480768141038</v>
      </c>
      <c r="K3373" s="87">
        <v>9.1877398235372905</v>
      </c>
    </row>
    <row r="3374" spans="9:11" x14ac:dyDescent="0.25">
      <c r="I3374" s="86">
        <v>3373</v>
      </c>
      <c r="J3374" s="87">
        <v>2.4115949339827836</v>
      </c>
      <c r="K3374" s="87">
        <v>6.7177625787818531</v>
      </c>
    </row>
    <row r="3375" spans="9:11" x14ac:dyDescent="0.25">
      <c r="I3375" s="86">
        <v>3374</v>
      </c>
      <c r="J3375" s="87">
        <v>0.31773574099977786</v>
      </c>
      <c r="K3375" s="87">
        <v>5.3485902198961197</v>
      </c>
    </row>
    <row r="3376" spans="9:11" x14ac:dyDescent="0.25">
      <c r="I3376" s="86">
        <v>3375</v>
      </c>
      <c r="J3376" s="87">
        <v>2.7307916475990694</v>
      </c>
      <c r="K3376" s="87">
        <v>6.8373285196342453</v>
      </c>
    </row>
    <row r="3377" spans="9:11" x14ac:dyDescent="0.25">
      <c r="I3377" s="86">
        <v>3376</v>
      </c>
      <c r="J3377" s="87">
        <v>0.70408311704542914</v>
      </c>
      <c r="K3377" s="87">
        <v>4.861794750356883</v>
      </c>
    </row>
    <row r="3378" spans="9:11" x14ac:dyDescent="0.25">
      <c r="I3378" s="86">
        <v>3377</v>
      </c>
      <c r="J3378" s="87">
        <v>2.7956675967870677</v>
      </c>
      <c r="K3378" s="87">
        <v>6.2968392063560863</v>
      </c>
    </row>
    <row r="3379" spans="9:11" x14ac:dyDescent="0.25">
      <c r="I3379" s="86">
        <v>3378</v>
      </c>
      <c r="J3379" s="87">
        <v>2.1356388473177246</v>
      </c>
      <c r="K3379" s="87">
        <v>5.9551305848010072</v>
      </c>
    </row>
    <row r="3380" spans="9:11" x14ac:dyDescent="0.25">
      <c r="I3380" s="86">
        <v>3379</v>
      </c>
      <c r="J3380" s="87">
        <v>0.70060595544190907</v>
      </c>
      <c r="K3380" s="87">
        <v>6.5401935179790955</v>
      </c>
    </row>
    <row r="3381" spans="9:11" x14ac:dyDescent="0.25">
      <c r="I3381" s="86">
        <v>3380</v>
      </c>
      <c r="J3381" s="87">
        <v>3.0417781113592168</v>
      </c>
      <c r="K3381" s="87">
        <v>7.3409523666193737</v>
      </c>
    </row>
    <row r="3382" spans="9:11" x14ac:dyDescent="0.25">
      <c r="I3382" s="86">
        <v>3381</v>
      </c>
      <c r="J3382" s="87">
        <v>-0.20401761490357995</v>
      </c>
      <c r="K3382" s="87">
        <v>6.4319527909125718</v>
      </c>
    </row>
    <row r="3383" spans="9:11" x14ac:dyDescent="0.25">
      <c r="I3383" s="86">
        <v>3382</v>
      </c>
      <c r="J3383" s="87">
        <v>-2.2368572822582</v>
      </c>
      <c r="K3383" s="87">
        <v>4.7684267223590879</v>
      </c>
    </row>
    <row r="3384" spans="9:11" x14ac:dyDescent="0.25">
      <c r="I3384" s="86">
        <v>3383</v>
      </c>
      <c r="J3384" s="87">
        <v>1.9513984176445804</v>
      </c>
      <c r="K3384" s="87">
        <v>6.2071655394263203</v>
      </c>
    </row>
    <row r="3385" spans="9:11" x14ac:dyDescent="0.25">
      <c r="I3385" s="86">
        <v>3384</v>
      </c>
      <c r="J3385" s="87">
        <v>4.9477576481612191</v>
      </c>
      <c r="K3385" s="87">
        <v>8.1424968184889401</v>
      </c>
    </row>
    <row r="3386" spans="9:11" x14ac:dyDescent="0.25">
      <c r="I3386" s="86">
        <v>3385</v>
      </c>
      <c r="J3386" s="87">
        <v>2.287270211237205</v>
      </c>
      <c r="K3386" s="87">
        <v>6.2124208161500514</v>
      </c>
    </row>
    <row r="3387" spans="9:11" x14ac:dyDescent="0.25">
      <c r="I3387" s="86">
        <v>3386</v>
      </c>
      <c r="J3387" s="87">
        <v>-0.84423456023392873</v>
      </c>
      <c r="K3387" s="87">
        <v>7.3721091964868313</v>
      </c>
    </row>
    <row r="3388" spans="9:11" x14ac:dyDescent="0.25">
      <c r="I3388" s="86">
        <v>3387</v>
      </c>
      <c r="J3388" s="87">
        <v>3.1868513717638853</v>
      </c>
      <c r="K3388" s="87">
        <v>9.1652946651295508</v>
      </c>
    </row>
    <row r="3389" spans="9:11" x14ac:dyDescent="0.25">
      <c r="I3389" s="86">
        <v>3388</v>
      </c>
      <c r="J3389" s="87">
        <v>0.46451617264385003</v>
      </c>
      <c r="K3389" s="87">
        <v>7.0248064474094143</v>
      </c>
    </row>
    <row r="3390" spans="9:11" x14ac:dyDescent="0.25">
      <c r="I3390" s="86">
        <v>3389</v>
      </c>
      <c r="J3390" s="87">
        <v>1.6409062165514063</v>
      </c>
      <c r="K3390" s="87">
        <v>5.3277134516899753</v>
      </c>
    </row>
    <row r="3391" spans="9:11" x14ac:dyDescent="0.25">
      <c r="I3391" s="86">
        <v>3390</v>
      </c>
      <c r="J3391" s="87">
        <v>2.000836052178701</v>
      </c>
      <c r="K3391" s="87">
        <v>8.5874603718281897</v>
      </c>
    </row>
    <row r="3392" spans="9:11" x14ac:dyDescent="0.25">
      <c r="I3392" s="86">
        <v>3391</v>
      </c>
      <c r="J3392" s="87">
        <v>0.52282790009178726</v>
      </c>
      <c r="K3392" s="87">
        <v>5.7122619487599913</v>
      </c>
    </row>
    <row r="3393" spans="9:11" x14ac:dyDescent="0.25">
      <c r="I3393" s="86">
        <v>3392</v>
      </c>
      <c r="J3393" s="87">
        <v>2.5301202315282323</v>
      </c>
      <c r="K3393" s="87">
        <v>7.7454425219119258</v>
      </c>
    </row>
    <row r="3394" spans="9:11" x14ac:dyDescent="0.25">
      <c r="I3394" s="86">
        <v>3393</v>
      </c>
      <c r="J3394" s="87">
        <v>6.1090294079261707</v>
      </c>
      <c r="K3394" s="87">
        <v>8.5302922577986404</v>
      </c>
    </row>
    <row r="3395" spans="9:11" x14ac:dyDescent="0.25">
      <c r="I3395" s="86">
        <v>3394</v>
      </c>
      <c r="J3395" s="87">
        <v>2.2503859702867954</v>
      </c>
      <c r="K3395" s="87">
        <v>6.7391176064664595</v>
      </c>
    </row>
    <row r="3396" spans="9:11" x14ac:dyDescent="0.25">
      <c r="I3396" s="86">
        <v>3395</v>
      </c>
      <c r="J3396" s="87">
        <v>7.3837854609763918</v>
      </c>
      <c r="K3396" s="87">
        <v>8.8710527133758088</v>
      </c>
    </row>
    <row r="3397" spans="9:11" x14ac:dyDescent="0.25">
      <c r="I3397" s="86">
        <v>3396</v>
      </c>
      <c r="J3397" s="87">
        <v>1.2121345702873447</v>
      </c>
      <c r="K3397" s="87">
        <v>5.496004332576935</v>
      </c>
    </row>
    <row r="3398" spans="9:11" x14ac:dyDescent="0.25">
      <c r="I3398" s="86">
        <v>3397</v>
      </c>
      <c r="J3398" s="87">
        <v>13.203909708074047</v>
      </c>
      <c r="K3398" s="87">
        <v>14.195259398706602</v>
      </c>
    </row>
    <row r="3399" spans="9:11" x14ac:dyDescent="0.25">
      <c r="I3399" s="86">
        <v>3398</v>
      </c>
      <c r="J3399" s="87">
        <v>5.3166405051393824</v>
      </c>
      <c r="K3399" s="87">
        <v>10.273996012267601</v>
      </c>
    </row>
    <row r="3400" spans="9:11" x14ac:dyDescent="0.25">
      <c r="I3400" s="86">
        <v>3399</v>
      </c>
      <c r="J3400" s="87">
        <v>4.7200072672960296</v>
      </c>
      <c r="K3400" s="87">
        <v>7.3275953487026104</v>
      </c>
    </row>
    <row r="3401" spans="9:11" x14ac:dyDescent="0.25">
      <c r="I3401" s="86">
        <v>3400</v>
      </c>
      <c r="J3401" s="87">
        <v>-1.3065117898521095</v>
      </c>
      <c r="K3401" s="87">
        <v>6.1694613702308123</v>
      </c>
    </row>
    <row r="3402" spans="9:11" x14ac:dyDescent="0.25">
      <c r="I3402" s="86">
        <v>3401</v>
      </c>
      <c r="J3402" s="87">
        <v>3.6772963913336838</v>
      </c>
      <c r="K3402" s="87">
        <v>7.9710827742351453</v>
      </c>
    </row>
    <row r="3403" spans="9:11" x14ac:dyDescent="0.25">
      <c r="I3403" s="86">
        <v>3402</v>
      </c>
      <c r="J3403" s="87">
        <v>5.3003518748721659</v>
      </c>
      <c r="K3403" s="87">
        <v>8.9560315776973258</v>
      </c>
    </row>
    <row r="3404" spans="9:11" x14ac:dyDescent="0.25">
      <c r="I3404" s="86">
        <v>3403</v>
      </c>
      <c r="J3404" s="87">
        <v>0.63659228652144106</v>
      </c>
      <c r="K3404" s="87">
        <v>4.3899504590333249</v>
      </c>
    </row>
    <row r="3405" spans="9:11" x14ac:dyDescent="0.25">
      <c r="I3405" s="86">
        <v>3404</v>
      </c>
      <c r="J3405" s="87">
        <v>-0.25520606541880131</v>
      </c>
      <c r="K3405" s="87">
        <v>6.1549195482724839</v>
      </c>
    </row>
    <row r="3406" spans="9:11" x14ac:dyDescent="0.25">
      <c r="I3406" s="86">
        <v>3405</v>
      </c>
      <c r="J3406" s="87">
        <v>6.3204717493727429</v>
      </c>
      <c r="K3406" s="87">
        <v>7.9238529218712195</v>
      </c>
    </row>
    <row r="3407" spans="9:11" x14ac:dyDescent="0.25">
      <c r="I3407" s="86">
        <v>3406</v>
      </c>
      <c r="J3407" s="87">
        <v>6.3792558447952175E-2</v>
      </c>
      <c r="K3407" s="87">
        <v>5.0059588780223816</v>
      </c>
    </row>
    <row r="3408" spans="9:11" x14ac:dyDescent="0.25">
      <c r="I3408" s="86">
        <v>3407</v>
      </c>
      <c r="J3408" s="87">
        <v>2.3033965927012412</v>
      </c>
      <c r="K3408" s="87">
        <v>7.4865536567152828</v>
      </c>
    </row>
    <row r="3409" spans="9:11" x14ac:dyDescent="0.25">
      <c r="I3409" s="86">
        <v>3408</v>
      </c>
      <c r="J3409" s="87">
        <v>3.450889202901708</v>
      </c>
      <c r="K3409" s="87">
        <v>9.8888858649004181</v>
      </c>
    </row>
    <row r="3410" spans="9:11" x14ac:dyDescent="0.25">
      <c r="I3410" s="86">
        <v>3409</v>
      </c>
      <c r="J3410" s="87">
        <v>1.8240423736271332</v>
      </c>
      <c r="K3410" s="87">
        <v>5.4708781576597127</v>
      </c>
    </row>
    <row r="3411" spans="9:11" x14ac:dyDescent="0.25">
      <c r="I3411" s="86">
        <v>3410</v>
      </c>
      <c r="J3411" s="87">
        <v>0.23215384600403599</v>
      </c>
      <c r="K3411" s="87">
        <v>7.3952444915650206</v>
      </c>
    </row>
    <row r="3412" spans="9:11" x14ac:dyDescent="0.25">
      <c r="I3412" s="86">
        <v>3411</v>
      </c>
      <c r="J3412" s="87">
        <v>3.3482002745177208</v>
      </c>
      <c r="K3412" s="87">
        <v>7.1135493233286988</v>
      </c>
    </row>
    <row r="3413" spans="9:11" x14ac:dyDescent="0.25">
      <c r="I3413" s="86">
        <v>3412</v>
      </c>
      <c r="J3413" s="87">
        <v>0.76289529259899558</v>
      </c>
      <c r="K3413" s="87">
        <v>5.3359632374165642</v>
      </c>
    </row>
    <row r="3414" spans="9:11" x14ac:dyDescent="0.25">
      <c r="I3414" s="86">
        <v>3413</v>
      </c>
      <c r="J3414" s="87">
        <v>0.32865578527284978</v>
      </c>
      <c r="K3414" s="87">
        <v>5.9552395511270904</v>
      </c>
    </row>
    <row r="3415" spans="9:11" x14ac:dyDescent="0.25">
      <c r="I3415" s="86">
        <v>3414</v>
      </c>
      <c r="J3415" s="87">
        <v>1.7279001730902523</v>
      </c>
      <c r="K3415" s="87">
        <v>7.4370991230982515</v>
      </c>
    </row>
    <row r="3416" spans="9:11" x14ac:dyDescent="0.25">
      <c r="I3416" s="86">
        <v>3415</v>
      </c>
      <c r="J3416" s="87">
        <v>1.8763305785786182</v>
      </c>
      <c r="K3416" s="87">
        <v>7.4495198455021416</v>
      </c>
    </row>
    <row r="3417" spans="9:11" x14ac:dyDescent="0.25">
      <c r="I3417" s="86">
        <v>3416</v>
      </c>
      <c r="J3417" s="87">
        <v>1.5108126842282905</v>
      </c>
      <c r="K3417" s="87">
        <v>5.6532543223304703</v>
      </c>
    </row>
    <row r="3418" spans="9:11" x14ac:dyDescent="0.25">
      <c r="I3418" s="86">
        <v>3417</v>
      </c>
      <c r="J3418" s="87">
        <v>4.0510585366765106</v>
      </c>
      <c r="K3418" s="87">
        <v>8.1941525390357484</v>
      </c>
    </row>
    <row r="3419" spans="9:11" x14ac:dyDescent="0.25">
      <c r="I3419" s="86">
        <v>3418</v>
      </c>
      <c r="J3419" s="87">
        <v>0.88723296517928807</v>
      </c>
      <c r="K3419" s="87">
        <v>5.4889700230476564</v>
      </c>
    </row>
    <row r="3420" spans="9:11" x14ac:dyDescent="0.25">
      <c r="I3420" s="86">
        <v>3419</v>
      </c>
      <c r="J3420" s="87">
        <v>1.2602267240569622</v>
      </c>
      <c r="K3420" s="87">
        <v>8.0445175316182365</v>
      </c>
    </row>
    <row r="3421" spans="9:11" x14ac:dyDescent="0.25">
      <c r="I3421" s="86">
        <v>3420</v>
      </c>
      <c r="J3421" s="87">
        <v>0.18862611090077941</v>
      </c>
      <c r="K3421" s="87">
        <v>5.7272644087804379</v>
      </c>
    </row>
    <row r="3422" spans="9:11" x14ac:dyDescent="0.25">
      <c r="I3422" s="86">
        <v>3421</v>
      </c>
      <c r="J3422" s="87">
        <v>1.8697225689166839</v>
      </c>
      <c r="K3422" s="87">
        <v>5.5071340674261045</v>
      </c>
    </row>
    <row r="3423" spans="9:11" x14ac:dyDescent="0.25">
      <c r="I3423" s="86">
        <v>3422</v>
      </c>
      <c r="J3423" s="87">
        <v>2.0011410554705105</v>
      </c>
      <c r="K3423" s="87">
        <v>5.6929440595926915</v>
      </c>
    </row>
    <row r="3424" spans="9:11" x14ac:dyDescent="0.25">
      <c r="I3424" s="86">
        <v>3423</v>
      </c>
      <c r="J3424" s="87">
        <v>-0.37761681055168328</v>
      </c>
      <c r="K3424" s="87">
        <v>6.8516647159306237</v>
      </c>
    </row>
    <row r="3425" spans="9:11" x14ac:dyDescent="0.25">
      <c r="I3425" s="86">
        <v>3424</v>
      </c>
      <c r="J3425" s="87">
        <v>1.834188591792163E-2</v>
      </c>
      <c r="K3425" s="87">
        <v>6.1971988327656433</v>
      </c>
    </row>
    <row r="3426" spans="9:11" x14ac:dyDescent="0.25">
      <c r="I3426" s="86">
        <v>3425</v>
      </c>
      <c r="J3426" s="87">
        <v>-7.2808369270418893E-2</v>
      </c>
      <c r="K3426" s="87">
        <v>5.4574835409329667</v>
      </c>
    </row>
    <row r="3427" spans="9:11" x14ac:dyDescent="0.25">
      <c r="I3427" s="86">
        <v>3426</v>
      </c>
      <c r="J3427" s="87">
        <v>4.0581002015317633</v>
      </c>
      <c r="K3427" s="87">
        <v>7.2623034067025873</v>
      </c>
    </row>
    <row r="3428" spans="9:11" x14ac:dyDescent="0.25">
      <c r="I3428" s="86">
        <v>3427</v>
      </c>
      <c r="J3428" s="87">
        <v>0.86454694137838395</v>
      </c>
      <c r="K3428" s="87">
        <v>6.517619767473974</v>
      </c>
    </row>
    <row r="3429" spans="9:11" x14ac:dyDescent="0.25">
      <c r="I3429" s="86">
        <v>3428</v>
      </c>
      <c r="J3429" s="87">
        <v>2.8219782066550971</v>
      </c>
      <c r="K3429" s="87">
        <v>7.8075309381977798</v>
      </c>
    </row>
    <row r="3430" spans="9:11" x14ac:dyDescent="0.25">
      <c r="I3430" s="86">
        <v>3429</v>
      </c>
      <c r="J3430" s="87">
        <v>4.5147996692865942</v>
      </c>
      <c r="K3430" s="87">
        <v>9.3877209722910386</v>
      </c>
    </row>
    <row r="3431" spans="9:11" x14ac:dyDescent="0.25">
      <c r="I3431" s="86">
        <v>3430</v>
      </c>
      <c r="J3431" s="87">
        <v>1.1686968939170876</v>
      </c>
      <c r="K3431" s="87">
        <v>7.6406014525327013</v>
      </c>
    </row>
    <row r="3432" spans="9:11" x14ac:dyDescent="0.25">
      <c r="I3432" s="86">
        <v>3431</v>
      </c>
      <c r="J3432" s="87">
        <v>2.5223988067196084</v>
      </c>
      <c r="K3432" s="87">
        <v>5.9156471134748791</v>
      </c>
    </row>
    <row r="3433" spans="9:11" x14ac:dyDescent="0.25">
      <c r="I3433" s="86">
        <v>3432</v>
      </c>
      <c r="J3433" s="87">
        <v>2.9293434887746361</v>
      </c>
      <c r="K3433" s="87">
        <v>9.0374433405189496</v>
      </c>
    </row>
    <row r="3434" spans="9:11" x14ac:dyDescent="0.25">
      <c r="I3434" s="86">
        <v>3433</v>
      </c>
      <c r="J3434" s="87">
        <v>7.781979401582273E-2</v>
      </c>
      <c r="K3434" s="87">
        <v>5.0138387963155164</v>
      </c>
    </row>
    <row r="3435" spans="9:11" x14ac:dyDescent="0.25">
      <c r="I3435" s="86">
        <v>3434</v>
      </c>
      <c r="J3435" s="87">
        <v>3.2680310117495459</v>
      </c>
      <c r="K3435" s="87">
        <v>7.6365933727376039</v>
      </c>
    </row>
    <row r="3436" spans="9:11" x14ac:dyDescent="0.25">
      <c r="I3436" s="86">
        <v>3435</v>
      </c>
      <c r="J3436" s="87">
        <v>5.405426706904314</v>
      </c>
      <c r="K3436" s="87">
        <v>8.2847434074646404</v>
      </c>
    </row>
    <row r="3437" spans="9:11" x14ac:dyDescent="0.25">
      <c r="I3437" s="86">
        <v>3436</v>
      </c>
      <c r="J3437" s="87">
        <v>-0.4477478741457972</v>
      </c>
      <c r="K3437" s="87">
        <v>6.1988104367189587</v>
      </c>
    </row>
    <row r="3438" spans="9:11" x14ac:dyDescent="0.25">
      <c r="I3438" s="86">
        <v>3437</v>
      </c>
      <c r="J3438" s="87">
        <v>-1.0096939761062345</v>
      </c>
      <c r="K3438" s="87">
        <v>5.1182928285930425</v>
      </c>
    </row>
    <row r="3439" spans="9:11" x14ac:dyDescent="0.25">
      <c r="I3439" s="86">
        <v>3438</v>
      </c>
      <c r="J3439" s="87">
        <v>-0.91983945786121879</v>
      </c>
      <c r="K3439" s="87">
        <v>5.4052826288042892</v>
      </c>
    </row>
    <row r="3440" spans="9:11" x14ac:dyDescent="0.25">
      <c r="I3440" s="86">
        <v>3439</v>
      </c>
      <c r="J3440" s="87">
        <v>1.1410587834187966</v>
      </c>
      <c r="K3440" s="87">
        <v>7.8213949784526227</v>
      </c>
    </row>
    <row r="3441" spans="9:11" x14ac:dyDescent="0.25">
      <c r="I3441" s="86">
        <v>3440</v>
      </c>
      <c r="J3441" s="87">
        <v>4.3346590240386007</v>
      </c>
      <c r="K3441" s="87">
        <v>9.3507173282653806</v>
      </c>
    </row>
    <row r="3442" spans="9:11" x14ac:dyDescent="0.25">
      <c r="I3442" s="86">
        <v>3441</v>
      </c>
      <c r="J3442" s="87">
        <v>3.0583524791573584</v>
      </c>
      <c r="K3442" s="87">
        <v>6.5534732221552421</v>
      </c>
    </row>
    <row r="3443" spans="9:11" x14ac:dyDescent="0.25">
      <c r="I3443" s="86">
        <v>3442</v>
      </c>
      <c r="J3443" s="87">
        <v>-2.1174530695873273E-3</v>
      </c>
      <c r="K3443" s="87">
        <v>6.3936316613917414</v>
      </c>
    </row>
    <row r="3444" spans="9:11" x14ac:dyDescent="0.25">
      <c r="I3444" s="86">
        <v>3443</v>
      </c>
      <c r="J3444" s="87">
        <v>12.862755133562793</v>
      </c>
      <c r="K3444" s="87">
        <v>14.986394247078433</v>
      </c>
    </row>
    <row r="3445" spans="9:11" x14ac:dyDescent="0.25">
      <c r="I3445" s="86">
        <v>3444</v>
      </c>
      <c r="J3445" s="87">
        <v>1.7415745055902541</v>
      </c>
      <c r="K3445" s="87">
        <v>6.9476458311084706</v>
      </c>
    </row>
    <row r="3446" spans="9:11" x14ac:dyDescent="0.25">
      <c r="I3446" s="86">
        <v>3445</v>
      </c>
      <c r="J3446" s="87">
        <v>1.348987373236457</v>
      </c>
      <c r="K3446" s="87">
        <v>5.021256211351905</v>
      </c>
    </row>
    <row r="3447" spans="9:11" x14ac:dyDescent="0.25">
      <c r="I3447" s="86">
        <v>3446</v>
      </c>
      <c r="J3447" s="87">
        <v>0.10164474895091136</v>
      </c>
      <c r="K3447" s="87">
        <v>6.0519314154545976</v>
      </c>
    </row>
    <row r="3448" spans="9:11" x14ac:dyDescent="0.25">
      <c r="I3448" s="86">
        <v>3447</v>
      </c>
      <c r="J3448" s="87">
        <v>1.2839777317933625</v>
      </c>
      <c r="K3448" s="87">
        <v>6.0216806642652978</v>
      </c>
    </row>
    <row r="3449" spans="9:11" x14ac:dyDescent="0.25">
      <c r="I3449" s="86">
        <v>3448</v>
      </c>
      <c r="J3449" s="87">
        <v>1.947404929085911</v>
      </c>
      <c r="K3449" s="87">
        <v>8.0155528027382132</v>
      </c>
    </row>
    <row r="3450" spans="9:11" x14ac:dyDescent="0.25">
      <c r="I3450" s="86">
        <v>3449</v>
      </c>
      <c r="J3450" s="87">
        <v>2.872117423645081</v>
      </c>
      <c r="K3450" s="87">
        <v>8.1202073765632541</v>
      </c>
    </row>
    <row r="3451" spans="9:11" x14ac:dyDescent="0.25">
      <c r="I3451" s="86">
        <v>3450</v>
      </c>
      <c r="J3451" s="87">
        <v>-0.23906146352956714</v>
      </c>
      <c r="K3451" s="87">
        <v>6.7127887546228351</v>
      </c>
    </row>
    <row r="3452" spans="9:11" x14ac:dyDescent="0.25">
      <c r="I3452" s="86">
        <v>3451</v>
      </c>
      <c r="J3452" s="87">
        <v>0.64007502591081966</v>
      </c>
      <c r="K3452" s="87">
        <v>8.3470804491956034</v>
      </c>
    </row>
    <row r="3453" spans="9:11" x14ac:dyDescent="0.25">
      <c r="I3453" s="86">
        <v>3452</v>
      </c>
      <c r="J3453" s="87">
        <v>4.2303018646228097E-3</v>
      </c>
      <c r="K3453" s="87">
        <v>6.7866312766796408</v>
      </c>
    </row>
    <row r="3454" spans="9:11" x14ac:dyDescent="0.25">
      <c r="I3454" s="86">
        <v>3453</v>
      </c>
      <c r="J3454" s="87">
        <v>2.8571144509783926</v>
      </c>
      <c r="K3454" s="87">
        <v>5.630851898248495</v>
      </c>
    </row>
    <row r="3455" spans="9:11" x14ac:dyDescent="0.25">
      <c r="I3455" s="86">
        <v>3454</v>
      </c>
      <c r="J3455" s="87">
        <v>0.8282370928112508</v>
      </c>
      <c r="K3455" s="87">
        <v>6.5877747053454963</v>
      </c>
    </row>
    <row r="3456" spans="9:11" x14ac:dyDescent="0.25">
      <c r="I3456" s="86">
        <v>3455</v>
      </c>
      <c r="J3456" s="87">
        <v>1.0304340703685364</v>
      </c>
      <c r="K3456" s="87">
        <v>7.0857160174307161</v>
      </c>
    </row>
    <row r="3457" spans="9:11" x14ac:dyDescent="0.25">
      <c r="I3457" s="86">
        <v>3456</v>
      </c>
      <c r="J3457" s="87">
        <v>1.6692277796089559</v>
      </c>
      <c r="K3457" s="87">
        <v>5.915795155901864</v>
      </c>
    </row>
    <row r="3458" spans="9:11" x14ac:dyDescent="0.25">
      <c r="I3458" s="86">
        <v>3457</v>
      </c>
      <c r="J3458" s="87">
        <v>2.5424782120532159</v>
      </c>
      <c r="K3458" s="87">
        <v>5.9402735827652169</v>
      </c>
    </row>
    <row r="3459" spans="9:11" x14ac:dyDescent="0.25">
      <c r="I3459" s="86">
        <v>3458</v>
      </c>
      <c r="J3459" s="87">
        <v>0.15005490367066265</v>
      </c>
      <c r="K3459" s="87">
        <v>5.2201054651656271</v>
      </c>
    </row>
    <row r="3460" spans="9:11" x14ac:dyDescent="0.25">
      <c r="I3460" s="86">
        <v>3459</v>
      </c>
      <c r="J3460" s="87">
        <v>1.5528463718032697</v>
      </c>
      <c r="K3460" s="87">
        <v>5.7259615285836674</v>
      </c>
    </row>
    <row r="3461" spans="9:11" x14ac:dyDescent="0.25">
      <c r="I3461" s="86">
        <v>3460</v>
      </c>
      <c r="J3461" s="87">
        <v>-0.94704937790383781</v>
      </c>
      <c r="K3461" s="87">
        <v>5.3383437410795862</v>
      </c>
    </row>
    <row r="3462" spans="9:11" x14ac:dyDescent="0.25">
      <c r="I3462" s="86">
        <v>3461</v>
      </c>
      <c r="J3462" s="87">
        <v>2.6886844614385659</v>
      </c>
      <c r="K3462" s="87">
        <v>7.454878036975896</v>
      </c>
    </row>
    <row r="3463" spans="9:11" x14ac:dyDescent="0.25">
      <c r="I3463" s="86">
        <v>3462</v>
      </c>
      <c r="J3463" s="87">
        <v>2.357058729783434</v>
      </c>
      <c r="K3463" s="87">
        <v>8.6602242669349749</v>
      </c>
    </row>
    <row r="3464" spans="9:11" x14ac:dyDescent="0.25">
      <c r="I3464" s="86">
        <v>3463</v>
      </c>
      <c r="J3464" s="87">
        <v>-9.310479790465287E-2</v>
      </c>
      <c r="K3464" s="87">
        <v>6.2321459422082075</v>
      </c>
    </row>
    <row r="3465" spans="9:11" x14ac:dyDescent="0.25">
      <c r="I3465" s="86">
        <v>3464</v>
      </c>
      <c r="J3465" s="87">
        <v>3.0182440335885019</v>
      </c>
      <c r="K3465" s="87">
        <v>7.2486555506275376</v>
      </c>
    </row>
    <row r="3466" spans="9:11" x14ac:dyDescent="0.25">
      <c r="I3466" s="86">
        <v>3465</v>
      </c>
      <c r="J3466" s="87">
        <v>1.3756533548765271</v>
      </c>
      <c r="K3466" s="87">
        <v>7.5441316797880251</v>
      </c>
    </row>
    <row r="3467" spans="9:11" x14ac:dyDescent="0.25">
      <c r="I3467" s="86">
        <v>3466</v>
      </c>
      <c r="J3467" s="87">
        <v>2.4886783734790701</v>
      </c>
      <c r="K3467" s="87">
        <v>8.4806736732161383</v>
      </c>
    </row>
    <row r="3468" spans="9:11" x14ac:dyDescent="0.25">
      <c r="I3468" s="86">
        <v>3467</v>
      </c>
      <c r="J3468" s="87">
        <v>0.90724337896471408</v>
      </c>
      <c r="K3468" s="87">
        <v>6.7057473675646841</v>
      </c>
    </row>
    <row r="3469" spans="9:11" x14ac:dyDescent="0.25">
      <c r="I3469" s="86">
        <v>3468</v>
      </c>
      <c r="J3469" s="87">
        <v>-0.29806428721393452</v>
      </c>
      <c r="K3469" s="87">
        <v>5.65293333793805</v>
      </c>
    </row>
    <row r="3470" spans="9:11" x14ac:dyDescent="0.25">
      <c r="I3470" s="86">
        <v>3469</v>
      </c>
      <c r="J3470" s="87">
        <v>1.5740027059415196</v>
      </c>
      <c r="K3470" s="87">
        <v>7.6962794019194254</v>
      </c>
    </row>
    <row r="3471" spans="9:11" x14ac:dyDescent="0.25">
      <c r="I3471" s="86">
        <v>3470</v>
      </c>
      <c r="J3471" s="87">
        <v>1.2974130968312529</v>
      </c>
      <c r="K3471" s="87">
        <v>6.921287482498319</v>
      </c>
    </row>
    <row r="3472" spans="9:11" x14ac:dyDescent="0.25">
      <c r="I3472" s="86">
        <v>3471</v>
      </c>
      <c r="J3472" s="87">
        <v>0.5895212826161762</v>
      </c>
      <c r="K3472" s="87">
        <v>4.739176936351063</v>
      </c>
    </row>
    <row r="3473" spans="9:11" x14ac:dyDescent="0.25">
      <c r="I3473" s="86">
        <v>3472</v>
      </c>
      <c r="J3473" s="87">
        <v>-0.38803904256699706</v>
      </c>
      <c r="K3473" s="87">
        <v>5.7321152897192462</v>
      </c>
    </row>
    <row r="3474" spans="9:11" x14ac:dyDescent="0.25">
      <c r="I3474" s="86">
        <v>3473</v>
      </c>
      <c r="J3474" s="87">
        <v>0.1626688747143552</v>
      </c>
      <c r="K3474" s="87">
        <v>7.90886839738668</v>
      </c>
    </row>
    <row r="3475" spans="9:11" x14ac:dyDescent="0.25">
      <c r="I3475" s="86">
        <v>3474</v>
      </c>
      <c r="J3475" s="87">
        <v>0.47928834611881488</v>
      </c>
      <c r="K3475" s="87">
        <v>6.3396069480978152</v>
      </c>
    </row>
    <row r="3476" spans="9:11" x14ac:dyDescent="0.25">
      <c r="I3476" s="86">
        <v>3475</v>
      </c>
      <c r="J3476" s="87">
        <v>2.0456418308838993</v>
      </c>
      <c r="K3476" s="87">
        <v>7.0014378641336226</v>
      </c>
    </row>
    <row r="3477" spans="9:11" x14ac:dyDescent="0.25">
      <c r="I3477" s="86">
        <v>3476</v>
      </c>
      <c r="J3477" s="87">
        <v>-0.32855412934217831</v>
      </c>
      <c r="K3477" s="87">
        <v>5.0052925724324044</v>
      </c>
    </row>
    <row r="3478" spans="9:11" x14ac:dyDescent="0.25">
      <c r="I3478" s="86">
        <v>3477</v>
      </c>
      <c r="J3478" s="87">
        <v>3.0146133375526656</v>
      </c>
      <c r="K3478" s="87">
        <v>7.1170915591115795</v>
      </c>
    </row>
    <row r="3479" spans="9:11" x14ac:dyDescent="0.25">
      <c r="I3479" s="86">
        <v>3478</v>
      </c>
      <c r="J3479" s="87">
        <v>4.3961793223538645</v>
      </c>
      <c r="K3479" s="87">
        <v>10.029512022224212</v>
      </c>
    </row>
    <row r="3480" spans="9:11" x14ac:dyDescent="0.25">
      <c r="I3480" s="86">
        <v>3479</v>
      </c>
      <c r="J3480" s="87">
        <v>4.3683543569187115</v>
      </c>
      <c r="K3480" s="87">
        <v>8.4789150347672457</v>
      </c>
    </row>
    <row r="3481" spans="9:11" x14ac:dyDescent="0.25">
      <c r="I3481" s="86">
        <v>3480</v>
      </c>
      <c r="J3481" s="87">
        <v>-8.3234818166367575E-2</v>
      </c>
      <c r="K3481" s="87">
        <v>8.0268496431126142</v>
      </c>
    </row>
    <row r="3482" spans="9:11" x14ac:dyDescent="0.25">
      <c r="I3482" s="86">
        <v>3481</v>
      </c>
      <c r="J3482" s="87">
        <v>1.7582379850935608</v>
      </c>
      <c r="K3482" s="87">
        <v>6.5561922482986787</v>
      </c>
    </row>
    <row r="3483" spans="9:11" x14ac:dyDescent="0.25">
      <c r="I3483" s="86">
        <v>3482</v>
      </c>
      <c r="J3483" s="87">
        <v>0.17628970746511197</v>
      </c>
      <c r="K3483" s="87">
        <v>5.6880261830806909</v>
      </c>
    </row>
    <row r="3484" spans="9:11" x14ac:dyDescent="0.25">
      <c r="I3484" s="86">
        <v>3483</v>
      </c>
      <c r="J3484" s="87">
        <v>1.3112323818418155</v>
      </c>
      <c r="K3484" s="87">
        <v>6.1874284013249641</v>
      </c>
    </row>
    <row r="3485" spans="9:11" x14ac:dyDescent="0.25">
      <c r="I3485" s="86">
        <v>3484</v>
      </c>
      <c r="J3485" s="87">
        <v>3.7394071944847944</v>
      </c>
      <c r="K3485" s="87">
        <v>10.209297491732224</v>
      </c>
    </row>
    <row r="3486" spans="9:11" x14ac:dyDescent="0.25">
      <c r="I3486" s="86">
        <v>3485</v>
      </c>
      <c r="J3486" s="87">
        <v>-0.4102505956321183</v>
      </c>
      <c r="K3486" s="87">
        <v>5.2314897599311001</v>
      </c>
    </row>
    <row r="3487" spans="9:11" x14ac:dyDescent="0.25">
      <c r="I3487" s="86">
        <v>3486</v>
      </c>
      <c r="J3487" s="87">
        <v>3.6932321783233091</v>
      </c>
      <c r="K3487" s="87">
        <v>9.1398088340028778</v>
      </c>
    </row>
    <row r="3488" spans="9:11" x14ac:dyDescent="0.25">
      <c r="I3488" s="86">
        <v>3487</v>
      </c>
      <c r="J3488" s="87">
        <v>2.3235795276599021</v>
      </c>
      <c r="K3488" s="87">
        <v>6.2613956850167414</v>
      </c>
    </row>
    <row r="3489" spans="9:11" x14ac:dyDescent="0.25">
      <c r="I3489" s="86">
        <v>3488</v>
      </c>
      <c r="J3489" s="87">
        <v>12.420661175363469</v>
      </c>
      <c r="K3489" s="87">
        <v>13.076101988943522</v>
      </c>
    </row>
    <row r="3490" spans="9:11" x14ac:dyDescent="0.25">
      <c r="I3490" s="86">
        <v>3489</v>
      </c>
      <c r="J3490" s="87">
        <v>0.50720218905588066</v>
      </c>
      <c r="K3490" s="87">
        <v>5.8058321856982174</v>
      </c>
    </row>
    <row r="3491" spans="9:11" x14ac:dyDescent="0.25">
      <c r="I3491" s="86">
        <v>3490</v>
      </c>
      <c r="J3491" s="87">
        <v>1.7089330055718266</v>
      </c>
      <c r="K3491" s="87">
        <v>7.4780924763087642</v>
      </c>
    </row>
    <row r="3492" spans="9:11" x14ac:dyDescent="0.25">
      <c r="I3492" s="86">
        <v>3491</v>
      </c>
      <c r="J3492" s="87">
        <v>2.3005017674378179</v>
      </c>
      <c r="K3492" s="87">
        <v>8.0353910106430764</v>
      </c>
    </row>
    <row r="3493" spans="9:11" x14ac:dyDescent="0.25">
      <c r="I3493" s="86">
        <v>3492</v>
      </c>
      <c r="J3493" s="87">
        <v>5.4266684329440311</v>
      </c>
      <c r="K3493" s="87">
        <v>9.5647497598586693</v>
      </c>
    </row>
    <row r="3494" spans="9:11" x14ac:dyDescent="0.25">
      <c r="I3494" s="86">
        <v>3493</v>
      </c>
      <c r="J3494" s="87">
        <v>-1.3338279022279007</v>
      </c>
      <c r="K3494" s="87">
        <v>5.459849002392116</v>
      </c>
    </row>
    <row r="3495" spans="9:11" x14ac:dyDescent="0.25">
      <c r="I3495" s="86">
        <v>3494</v>
      </c>
      <c r="J3495" s="87">
        <v>1.1763198761394094</v>
      </c>
      <c r="K3495" s="87">
        <v>7.2217297100340909</v>
      </c>
    </row>
    <row r="3496" spans="9:11" x14ac:dyDescent="0.25">
      <c r="I3496" s="86">
        <v>3495</v>
      </c>
      <c r="J3496" s="87">
        <v>-0.42401809699270832</v>
      </c>
      <c r="K3496" s="87">
        <v>5.8318730440535962</v>
      </c>
    </row>
    <row r="3497" spans="9:11" x14ac:dyDescent="0.25">
      <c r="I3497" s="86">
        <v>3496</v>
      </c>
      <c r="J3497" s="87">
        <v>4.8649940766561723</v>
      </c>
      <c r="K3497" s="87">
        <v>7.5324137774860018</v>
      </c>
    </row>
    <row r="3498" spans="9:11" x14ac:dyDescent="0.25">
      <c r="I3498" s="86">
        <v>3497</v>
      </c>
      <c r="J3498" s="87">
        <v>1.8748952009702426</v>
      </c>
      <c r="K3498" s="87">
        <v>6.1890412337816123</v>
      </c>
    </row>
    <row r="3499" spans="9:11" x14ac:dyDescent="0.25">
      <c r="I3499" s="86">
        <v>3498</v>
      </c>
      <c r="J3499" s="87">
        <v>2.9180227260550424</v>
      </c>
      <c r="K3499" s="87">
        <v>7.7052004457019621</v>
      </c>
    </row>
    <row r="3500" spans="9:11" x14ac:dyDescent="0.25">
      <c r="I3500" s="86">
        <v>3499</v>
      </c>
      <c r="J3500" s="87">
        <v>2.1571185521019194</v>
      </c>
      <c r="K3500" s="87">
        <v>6.3604217892584982</v>
      </c>
    </row>
    <row r="3501" spans="9:11" x14ac:dyDescent="0.25">
      <c r="I3501" s="86">
        <v>3500</v>
      </c>
      <c r="J3501" s="87">
        <v>1.6088472899918465</v>
      </c>
      <c r="K3501" s="87">
        <v>7.5449609255851673</v>
      </c>
    </row>
    <row r="3502" spans="9:11" x14ac:dyDescent="0.25">
      <c r="I3502" s="86">
        <v>3501</v>
      </c>
      <c r="J3502" s="87">
        <v>5.7295309987198841</v>
      </c>
      <c r="K3502" s="87">
        <v>10.549919872148138</v>
      </c>
    </row>
    <row r="3503" spans="9:11" x14ac:dyDescent="0.25">
      <c r="I3503" s="86">
        <v>3502</v>
      </c>
      <c r="J3503" s="87">
        <v>1.5952897134541182</v>
      </c>
      <c r="K3503" s="87">
        <v>6.1835210360275621</v>
      </c>
    </row>
    <row r="3504" spans="9:11" x14ac:dyDescent="0.25">
      <c r="I3504" s="86">
        <v>3503</v>
      </c>
      <c r="J3504" s="87">
        <v>1.4464383036729966</v>
      </c>
      <c r="K3504" s="87">
        <v>6.9787203312194288</v>
      </c>
    </row>
    <row r="3505" spans="9:11" x14ac:dyDescent="0.25">
      <c r="I3505" s="86">
        <v>3504</v>
      </c>
      <c r="J3505" s="87">
        <v>11.975936669803101</v>
      </c>
      <c r="K3505" s="87">
        <v>11.94617833590371</v>
      </c>
    </row>
    <row r="3506" spans="9:11" x14ac:dyDescent="0.25">
      <c r="I3506" s="86">
        <v>3505</v>
      </c>
      <c r="J3506" s="87">
        <v>1.1287392328080621</v>
      </c>
      <c r="K3506" s="87">
        <v>6.1989982205748229</v>
      </c>
    </row>
    <row r="3507" spans="9:11" x14ac:dyDescent="0.25">
      <c r="I3507" s="86">
        <v>3506</v>
      </c>
      <c r="J3507" s="87">
        <v>3.1902866161923527</v>
      </c>
      <c r="K3507" s="87">
        <v>8.4565289779815735</v>
      </c>
    </row>
    <row r="3508" spans="9:11" x14ac:dyDescent="0.25">
      <c r="I3508" s="86">
        <v>3507</v>
      </c>
      <c r="J3508" s="87">
        <v>3.6534271981594575</v>
      </c>
      <c r="K3508" s="87">
        <v>9.3570499323122807</v>
      </c>
    </row>
    <row r="3509" spans="9:11" x14ac:dyDescent="0.25">
      <c r="I3509" s="86">
        <v>3508</v>
      </c>
      <c r="J3509" s="87">
        <v>2.2080868340993023</v>
      </c>
      <c r="K3509" s="87">
        <v>8.3640096641807862</v>
      </c>
    </row>
    <row r="3510" spans="9:11" x14ac:dyDescent="0.25">
      <c r="I3510" s="86">
        <v>3509</v>
      </c>
      <c r="J3510" s="87">
        <v>-2.2749559924167881</v>
      </c>
      <c r="K3510" s="87">
        <v>5.2180149854326405</v>
      </c>
    </row>
    <row r="3511" spans="9:11" x14ac:dyDescent="0.25">
      <c r="I3511" s="86">
        <v>3510</v>
      </c>
      <c r="J3511" s="87">
        <v>1.1935152475501782</v>
      </c>
      <c r="K3511" s="87">
        <v>4.9783228135477149</v>
      </c>
    </row>
    <row r="3512" spans="9:11" x14ac:dyDescent="0.25">
      <c r="I3512" s="86">
        <v>3511</v>
      </c>
      <c r="J3512" s="87">
        <v>2.2724160760728855</v>
      </c>
      <c r="K3512" s="87">
        <v>6.170517322158573</v>
      </c>
    </row>
    <row r="3513" spans="9:11" x14ac:dyDescent="0.25">
      <c r="I3513" s="86">
        <v>3512</v>
      </c>
      <c r="J3513" s="87">
        <v>4.263093726697182</v>
      </c>
      <c r="K3513" s="87">
        <v>8.7858454727200979</v>
      </c>
    </row>
    <row r="3514" spans="9:11" x14ac:dyDescent="0.25">
      <c r="I3514" s="86">
        <v>3513</v>
      </c>
      <c r="J3514" s="87">
        <v>1.5581120024819057</v>
      </c>
      <c r="K3514" s="87">
        <v>6.9996806584776827</v>
      </c>
    </row>
    <row r="3515" spans="9:11" x14ac:dyDescent="0.25">
      <c r="I3515" s="86">
        <v>3514</v>
      </c>
      <c r="J3515" s="87">
        <v>0.89622348348651304</v>
      </c>
      <c r="K3515" s="87">
        <v>7.3081806650752492</v>
      </c>
    </row>
    <row r="3516" spans="9:11" x14ac:dyDescent="0.25">
      <c r="I3516" s="86">
        <v>3515</v>
      </c>
      <c r="J3516" s="87">
        <v>0.88508327540645837</v>
      </c>
      <c r="K3516" s="87">
        <v>7.6365435068712015</v>
      </c>
    </row>
    <row r="3517" spans="9:11" x14ac:dyDescent="0.25">
      <c r="I3517" s="86">
        <v>3516</v>
      </c>
      <c r="J3517" s="87">
        <v>3.062207678683615</v>
      </c>
      <c r="K3517" s="87">
        <v>7.0399555613319658</v>
      </c>
    </row>
    <row r="3518" spans="9:11" x14ac:dyDescent="0.25">
      <c r="I3518" s="86">
        <v>3517</v>
      </c>
      <c r="J3518" s="87">
        <v>2.9376759323784869</v>
      </c>
      <c r="K3518" s="87">
        <v>6.3258522292522352</v>
      </c>
    </row>
    <row r="3519" spans="9:11" x14ac:dyDescent="0.25">
      <c r="I3519" s="86">
        <v>3518</v>
      </c>
      <c r="J3519" s="87">
        <v>-3.1339040298663079E-2</v>
      </c>
      <c r="K3519" s="87">
        <v>7.1930003134196943</v>
      </c>
    </row>
    <row r="3520" spans="9:11" x14ac:dyDescent="0.25">
      <c r="I3520" s="86">
        <v>3519</v>
      </c>
      <c r="J3520" s="87">
        <v>3.1213130717748045</v>
      </c>
      <c r="K3520" s="87">
        <v>10.523014865251124</v>
      </c>
    </row>
    <row r="3521" spans="9:11" x14ac:dyDescent="0.25">
      <c r="I3521" s="86">
        <v>3520</v>
      </c>
      <c r="J3521" s="87">
        <v>1.342733200541435</v>
      </c>
      <c r="K3521" s="87">
        <v>6.4868835532879698</v>
      </c>
    </row>
    <row r="3522" spans="9:11" x14ac:dyDescent="0.25">
      <c r="I3522" s="86">
        <v>3521</v>
      </c>
      <c r="J3522" s="87">
        <v>4.0626296949471525</v>
      </c>
      <c r="K3522" s="87">
        <v>7.5834827167253769</v>
      </c>
    </row>
    <row r="3523" spans="9:11" x14ac:dyDescent="0.25">
      <c r="I3523" s="86">
        <v>3522</v>
      </c>
      <c r="J3523" s="87">
        <v>2.573476330936062</v>
      </c>
      <c r="K3523" s="87">
        <v>7.0570603370294469</v>
      </c>
    </row>
    <row r="3524" spans="9:11" x14ac:dyDescent="0.25">
      <c r="I3524" s="86">
        <v>3523</v>
      </c>
      <c r="J3524" s="87">
        <v>-0.23244538791508162</v>
      </c>
      <c r="K3524" s="87">
        <v>6.3091717694364666</v>
      </c>
    </row>
    <row r="3525" spans="9:11" x14ac:dyDescent="0.25">
      <c r="I3525" s="86">
        <v>3524</v>
      </c>
      <c r="J3525" s="87">
        <v>1.3835496911116509</v>
      </c>
      <c r="K3525" s="87">
        <v>5.5322101584668975</v>
      </c>
    </row>
    <row r="3526" spans="9:11" x14ac:dyDescent="0.25">
      <c r="I3526" s="86">
        <v>3525</v>
      </c>
      <c r="J3526" s="87">
        <v>1.0934429484361594</v>
      </c>
      <c r="K3526" s="87">
        <v>7.1759923312065865</v>
      </c>
    </row>
    <row r="3527" spans="9:11" x14ac:dyDescent="0.25">
      <c r="I3527" s="86">
        <v>3526</v>
      </c>
      <c r="J3527" s="87">
        <v>5.2136588276294376</v>
      </c>
      <c r="K3527" s="87">
        <v>7.5036597373096932</v>
      </c>
    </row>
    <row r="3528" spans="9:11" x14ac:dyDescent="0.25">
      <c r="I3528" s="86">
        <v>3527</v>
      </c>
      <c r="J3528" s="87">
        <v>2.5656034695444641</v>
      </c>
      <c r="K3528" s="87">
        <v>7.3432629722102067</v>
      </c>
    </row>
    <row r="3529" spans="9:11" x14ac:dyDescent="0.25">
      <c r="I3529" s="86">
        <v>3528</v>
      </c>
      <c r="J3529" s="87">
        <v>11.397055366018373</v>
      </c>
      <c r="K3529" s="87">
        <v>11.760644382802838</v>
      </c>
    </row>
    <row r="3530" spans="9:11" x14ac:dyDescent="0.25">
      <c r="I3530" s="86">
        <v>3529</v>
      </c>
      <c r="J3530" s="87">
        <v>0.42140723371124356</v>
      </c>
      <c r="K3530" s="87">
        <v>6.0854588850577862</v>
      </c>
    </row>
    <row r="3531" spans="9:11" x14ac:dyDescent="0.25">
      <c r="I3531" s="86">
        <v>3530</v>
      </c>
      <c r="J3531" s="87">
        <v>0.41610904307046948</v>
      </c>
      <c r="K3531" s="87">
        <v>6.9327850003086144</v>
      </c>
    </row>
    <row r="3532" spans="9:11" x14ac:dyDescent="0.25">
      <c r="I3532" s="86">
        <v>3531</v>
      </c>
      <c r="J3532" s="87">
        <v>4.9772635928562075</v>
      </c>
      <c r="K3532" s="87">
        <v>10.435785411697374</v>
      </c>
    </row>
    <row r="3533" spans="9:11" x14ac:dyDescent="0.25">
      <c r="I3533" s="86">
        <v>3532</v>
      </c>
      <c r="J3533" s="87">
        <v>0.48629710919404268</v>
      </c>
      <c r="K3533" s="87">
        <v>5.3914981272918281</v>
      </c>
    </row>
    <row r="3534" spans="9:11" x14ac:dyDescent="0.25">
      <c r="I3534" s="86">
        <v>3533</v>
      </c>
      <c r="J3534" s="87">
        <v>0.85866954072766344</v>
      </c>
      <c r="K3534" s="87">
        <v>6.6879715895968941</v>
      </c>
    </row>
    <row r="3535" spans="9:11" x14ac:dyDescent="0.25">
      <c r="I3535" s="86">
        <v>3534</v>
      </c>
      <c r="J3535" s="87">
        <v>2.8412779650484934</v>
      </c>
      <c r="K3535" s="87">
        <v>8.960962724889832</v>
      </c>
    </row>
    <row r="3536" spans="9:11" x14ac:dyDescent="0.25">
      <c r="I3536" s="86">
        <v>3535</v>
      </c>
      <c r="J3536" s="87">
        <v>8.1501533645162372</v>
      </c>
      <c r="K3536" s="87">
        <v>11.225869807716833</v>
      </c>
    </row>
    <row r="3537" spans="9:11" x14ac:dyDescent="0.25">
      <c r="I3537" s="86">
        <v>3536</v>
      </c>
      <c r="J3537" s="87">
        <v>2.0944112409151989</v>
      </c>
      <c r="K3537" s="87">
        <v>7.5593934098820323</v>
      </c>
    </row>
    <row r="3538" spans="9:11" x14ac:dyDescent="0.25">
      <c r="I3538" s="86">
        <v>3537</v>
      </c>
      <c r="J3538" s="87">
        <v>0.6401918155434787</v>
      </c>
      <c r="K3538" s="87">
        <v>6.158112465724785</v>
      </c>
    </row>
    <row r="3539" spans="9:11" x14ac:dyDescent="0.25">
      <c r="I3539" s="86">
        <v>3538</v>
      </c>
      <c r="J3539" s="87">
        <v>0.29768082870744106</v>
      </c>
      <c r="K3539" s="87">
        <v>6.4123677974526334</v>
      </c>
    </row>
    <row r="3540" spans="9:11" x14ac:dyDescent="0.25">
      <c r="I3540" s="86">
        <v>3539</v>
      </c>
      <c r="J3540" s="87">
        <v>3.8044022815386578</v>
      </c>
      <c r="K3540" s="87">
        <v>8.4724438700769227</v>
      </c>
    </row>
    <row r="3541" spans="9:11" x14ac:dyDescent="0.25">
      <c r="I3541" s="86">
        <v>3540</v>
      </c>
      <c r="J3541" s="87">
        <v>-0.51214644774952056</v>
      </c>
      <c r="K3541" s="87">
        <v>5.6017778944405263</v>
      </c>
    </row>
    <row r="3542" spans="9:11" x14ac:dyDescent="0.25">
      <c r="I3542" s="86">
        <v>3541</v>
      </c>
      <c r="J3542" s="87">
        <v>0.51001277784648735</v>
      </c>
      <c r="K3542" s="87">
        <v>6.314169849291674</v>
      </c>
    </row>
    <row r="3543" spans="9:11" x14ac:dyDescent="0.25">
      <c r="I3543" s="86">
        <v>3542</v>
      </c>
      <c r="J3543" s="87">
        <v>-2.5916995013441912E-3</v>
      </c>
      <c r="K3543" s="87">
        <v>4.7545383753275265</v>
      </c>
    </row>
    <row r="3544" spans="9:11" x14ac:dyDescent="0.25">
      <c r="I3544" s="86">
        <v>3543</v>
      </c>
      <c r="J3544" s="87">
        <v>-1.9913186802426237</v>
      </c>
      <c r="K3544" s="87">
        <v>5.4291644651777524</v>
      </c>
    </row>
    <row r="3545" spans="9:11" x14ac:dyDescent="0.25">
      <c r="I3545" s="86">
        <v>3544</v>
      </c>
      <c r="J3545" s="87">
        <v>-0.63110028158327403</v>
      </c>
      <c r="K3545" s="87">
        <v>5.7530501161843581</v>
      </c>
    </row>
    <row r="3546" spans="9:11" x14ac:dyDescent="0.25">
      <c r="I3546" s="86">
        <v>3545</v>
      </c>
      <c r="J3546" s="87">
        <v>2.0543685903397169</v>
      </c>
      <c r="K3546" s="87">
        <v>7.4864099266430291</v>
      </c>
    </row>
    <row r="3547" spans="9:11" x14ac:dyDescent="0.25">
      <c r="I3547" s="86">
        <v>3546</v>
      </c>
      <c r="J3547" s="87">
        <v>2.621716447086345</v>
      </c>
      <c r="K3547" s="87">
        <v>7.9848434578268153</v>
      </c>
    </row>
    <row r="3548" spans="9:11" x14ac:dyDescent="0.25">
      <c r="I3548" s="86">
        <v>3547</v>
      </c>
      <c r="J3548" s="87">
        <v>-1.9386838457537969E-2</v>
      </c>
      <c r="K3548" s="87">
        <v>5.3610085915140075</v>
      </c>
    </row>
    <row r="3549" spans="9:11" x14ac:dyDescent="0.25">
      <c r="I3549" s="86">
        <v>3548</v>
      </c>
      <c r="J3549" s="87">
        <v>1.3604193684552928</v>
      </c>
      <c r="K3549" s="87">
        <v>5.9511107330966828</v>
      </c>
    </row>
    <row r="3550" spans="9:11" x14ac:dyDescent="0.25">
      <c r="I3550" s="86">
        <v>3549</v>
      </c>
      <c r="J3550" s="87">
        <v>1.6505922164839042</v>
      </c>
      <c r="K3550" s="87">
        <v>6.5071979126822264</v>
      </c>
    </row>
    <row r="3551" spans="9:11" x14ac:dyDescent="0.25">
      <c r="I3551" s="86">
        <v>3550</v>
      </c>
      <c r="J3551" s="87">
        <v>2.0850275689766153</v>
      </c>
      <c r="K3551" s="87">
        <v>6.4413452215922993</v>
      </c>
    </row>
    <row r="3552" spans="9:11" x14ac:dyDescent="0.25">
      <c r="I3552" s="86">
        <v>3551</v>
      </c>
      <c r="J3552" s="87">
        <v>2.2154746467102449</v>
      </c>
      <c r="K3552" s="87">
        <v>6.7647949960461862</v>
      </c>
    </row>
    <row r="3553" spans="9:11" x14ac:dyDescent="0.25">
      <c r="I3553" s="86">
        <v>3552</v>
      </c>
      <c r="J3553" s="87">
        <v>0.80195507107770947</v>
      </c>
      <c r="K3553" s="87">
        <v>5.5778915759799794</v>
      </c>
    </row>
    <row r="3554" spans="9:11" x14ac:dyDescent="0.25">
      <c r="I3554" s="86">
        <v>3553</v>
      </c>
      <c r="J3554" s="87">
        <v>1.1980577848129856</v>
      </c>
      <c r="K3554" s="87">
        <v>7.0053024196525193</v>
      </c>
    </row>
    <row r="3555" spans="9:11" x14ac:dyDescent="0.25">
      <c r="I3555" s="86">
        <v>3554</v>
      </c>
      <c r="J3555" s="87">
        <v>-0.12561405855473762</v>
      </c>
      <c r="K3555" s="87">
        <v>5.9022788648805182</v>
      </c>
    </row>
    <row r="3556" spans="9:11" x14ac:dyDescent="0.25">
      <c r="I3556" s="86">
        <v>3555</v>
      </c>
      <c r="J3556" s="87">
        <v>0.80859143946670553</v>
      </c>
      <c r="K3556" s="87">
        <v>6.5315878871189375</v>
      </c>
    </row>
    <row r="3557" spans="9:11" x14ac:dyDescent="0.25">
      <c r="I3557" s="86">
        <v>3556</v>
      </c>
      <c r="J3557" s="87">
        <v>-0.72679630957024077</v>
      </c>
      <c r="K3557" s="87">
        <v>5.8831757289388111</v>
      </c>
    </row>
    <row r="3558" spans="9:11" x14ac:dyDescent="0.25">
      <c r="I3558" s="86">
        <v>3557</v>
      </c>
      <c r="J3558" s="87">
        <v>0.87970029981771347</v>
      </c>
      <c r="K3558" s="87">
        <v>6.2167314518148737</v>
      </c>
    </row>
    <row r="3559" spans="9:11" x14ac:dyDescent="0.25">
      <c r="I3559" s="86">
        <v>3558</v>
      </c>
      <c r="J3559" s="87">
        <v>1.5562797921626368</v>
      </c>
      <c r="K3559" s="87">
        <v>7.9557593527464752</v>
      </c>
    </row>
    <row r="3560" spans="9:11" x14ac:dyDescent="0.25">
      <c r="I3560" s="86">
        <v>3559</v>
      </c>
      <c r="J3560" s="87">
        <v>2.1724637672582299</v>
      </c>
      <c r="K3560" s="87">
        <v>7.1981064144292191</v>
      </c>
    </row>
    <row r="3561" spans="9:11" x14ac:dyDescent="0.25">
      <c r="I3561" s="86">
        <v>3560</v>
      </c>
      <c r="J3561" s="87">
        <v>4.4518854874349554</v>
      </c>
      <c r="K3561" s="87">
        <v>9.9740647302619383</v>
      </c>
    </row>
    <row r="3562" spans="9:11" x14ac:dyDescent="0.25">
      <c r="I3562" s="86">
        <v>3561</v>
      </c>
      <c r="J3562" s="87">
        <v>1.7722985222945069</v>
      </c>
      <c r="K3562" s="87">
        <v>5.8343666792605049</v>
      </c>
    </row>
    <row r="3563" spans="9:11" x14ac:dyDescent="0.25">
      <c r="I3563" s="86">
        <v>3562</v>
      </c>
      <c r="J3563" s="87">
        <v>-1.2185679351895438</v>
      </c>
      <c r="K3563" s="87">
        <v>4.344425180250238</v>
      </c>
    </row>
    <row r="3564" spans="9:11" x14ac:dyDescent="0.25">
      <c r="I3564" s="86">
        <v>3563</v>
      </c>
      <c r="J3564" s="87">
        <v>-0.52581034139004412</v>
      </c>
      <c r="K3564" s="87">
        <v>5.7979751673099296</v>
      </c>
    </row>
    <row r="3565" spans="9:11" x14ac:dyDescent="0.25">
      <c r="I3565" s="86">
        <v>3564</v>
      </c>
      <c r="J3565" s="87">
        <v>2.4914495462688446</v>
      </c>
      <c r="K3565" s="87">
        <v>7.820503840578958</v>
      </c>
    </row>
    <row r="3566" spans="9:11" x14ac:dyDescent="0.25">
      <c r="I3566" s="86">
        <v>3565</v>
      </c>
      <c r="J3566" s="87">
        <v>2.4676482427634321</v>
      </c>
      <c r="K3566" s="87">
        <v>5.5554636177833121</v>
      </c>
    </row>
    <row r="3567" spans="9:11" x14ac:dyDescent="0.25">
      <c r="I3567" s="86">
        <v>3566</v>
      </c>
      <c r="J3567" s="87">
        <v>4.295532999811531</v>
      </c>
      <c r="K3567" s="87">
        <v>10.533680260772369</v>
      </c>
    </row>
    <row r="3568" spans="9:11" x14ac:dyDescent="0.25">
      <c r="I3568" s="86">
        <v>3567</v>
      </c>
      <c r="J3568" s="87">
        <v>4.358448168364724</v>
      </c>
      <c r="K3568" s="87">
        <v>9.4909384041238134</v>
      </c>
    </row>
    <row r="3569" spans="9:11" x14ac:dyDescent="0.25">
      <c r="I3569" s="86">
        <v>3568</v>
      </c>
      <c r="J3569" s="87">
        <v>2.5604740646409327</v>
      </c>
      <c r="K3569" s="87">
        <v>5.7876519818731191</v>
      </c>
    </row>
    <row r="3570" spans="9:11" x14ac:dyDescent="0.25">
      <c r="I3570" s="86">
        <v>3569</v>
      </c>
      <c r="J3570" s="87">
        <v>0.5998367171112462</v>
      </c>
      <c r="K3570" s="87">
        <v>4.152402592751451</v>
      </c>
    </row>
    <row r="3571" spans="9:11" x14ac:dyDescent="0.25">
      <c r="I3571" s="86">
        <v>3570</v>
      </c>
      <c r="J3571" s="87">
        <v>0.3507911453085697</v>
      </c>
      <c r="K3571" s="87">
        <v>6.9875222615810575</v>
      </c>
    </row>
    <row r="3572" spans="9:11" x14ac:dyDescent="0.25">
      <c r="I3572" s="86">
        <v>3571</v>
      </c>
      <c r="J3572" s="87">
        <v>1.1371998469192039</v>
      </c>
      <c r="K3572" s="87">
        <v>5.8544270456360463</v>
      </c>
    </row>
    <row r="3573" spans="9:11" x14ac:dyDescent="0.25">
      <c r="I3573" s="86">
        <v>3572</v>
      </c>
      <c r="J3573" s="87">
        <v>2.5125612237765802</v>
      </c>
      <c r="K3573" s="87">
        <v>7.4372247113125463</v>
      </c>
    </row>
    <row r="3574" spans="9:11" x14ac:dyDescent="0.25">
      <c r="I3574" s="86">
        <v>3573</v>
      </c>
      <c r="J3574" s="87">
        <v>0.70027323891187176</v>
      </c>
      <c r="K3574" s="87">
        <v>5.9152394095625507</v>
      </c>
    </row>
    <row r="3575" spans="9:11" x14ac:dyDescent="0.25">
      <c r="I3575" s="86">
        <v>3574</v>
      </c>
      <c r="J3575" s="87">
        <v>3.0745050621056036</v>
      </c>
      <c r="K3575" s="87">
        <v>7.7149629121110026</v>
      </c>
    </row>
    <row r="3576" spans="9:11" x14ac:dyDescent="0.25">
      <c r="I3576" s="86">
        <v>3575</v>
      </c>
      <c r="J3576" s="87">
        <v>1.0088029422295444</v>
      </c>
      <c r="K3576" s="87">
        <v>8.0373271955082863</v>
      </c>
    </row>
    <row r="3577" spans="9:11" x14ac:dyDescent="0.25">
      <c r="I3577" s="86">
        <v>3576</v>
      </c>
      <c r="J3577" s="87">
        <v>2.7062514173563574</v>
      </c>
      <c r="K3577" s="87">
        <v>4.6445515075314594</v>
      </c>
    </row>
    <row r="3578" spans="9:11" x14ac:dyDescent="0.25">
      <c r="I3578" s="86">
        <v>3577</v>
      </c>
      <c r="J3578" s="87">
        <v>2.7891625392479007</v>
      </c>
      <c r="K3578" s="87">
        <v>8.007514688978377</v>
      </c>
    </row>
    <row r="3579" spans="9:11" x14ac:dyDescent="0.25">
      <c r="I3579" s="86">
        <v>3578</v>
      </c>
      <c r="J3579" s="87">
        <v>1.1913664597219591</v>
      </c>
      <c r="K3579" s="87">
        <v>5.4593696103573235</v>
      </c>
    </row>
    <row r="3580" spans="9:11" x14ac:dyDescent="0.25">
      <c r="I3580" s="86">
        <v>3579</v>
      </c>
      <c r="J3580" s="87">
        <v>3.2872050629916441</v>
      </c>
      <c r="K3580" s="87">
        <v>7.4175554382957198</v>
      </c>
    </row>
    <row r="3581" spans="9:11" x14ac:dyDescent="0.25">
      <c r="I3581" s="86">
        <v>3580</v>
      </c>
      <c r="J3581" s="87">
        <v>2.9178130854018294</v>
      </c>
      <c r="K3581" s="87">
        <v>7.8986093682845704</v>
      </c>
    </row>
    <row r="3582" spans="9:11" x14ac:dyDescent="0.25">
      <c r="I3582" s="86">
        <v>3581</v>
      </c>
      <c r="J3582" s="87">
        <v>1.6879462907137803</v>
      </c>
      <c r="K3582" s="87">
        <v>8.3195812885829916</v>
      </c>
    </row>
    <row r="3583" spans="9:11" x14ac:dyDescent="0.25">
      <c r="I3583" s="86">
        <v>3582</v>
      </c>
      <c r="J3583" s="87">
        <v>-1.0020827406548927</v>
      </c>
      <c r="K3583" s="87">
        <v>5.5888348146425049</v>
      </c>
    </row>
    <row r="3584" spans="9:11" x14ac:dyDescent="0.25">
      <c r="I3584" s="86">
        <v>3583</v>
      </c>
      <c r="J3584" s="87">
        <v>2.4237858995645185</v>
      </c>
      <c r="K3584" s="87">
        <v>8.1104166478541462</v>
      </c>
    </row>
    <row r="3585" spans="9:11" x14ac:dyDescent="0.25">
      <c r="I3585" s="86">
        <v>3584</v>
      </c>
      <c r="J3585" s="87">
        <v>1.7160255500204986</v>
      </c>
      <c r="K3585" s="87">
        <v>7.8437682246760341</v>
      </c>
    </row>
    <row r="3586" spans="9:11" x14ac:dyDescent="0.25">
      <c r="I3586" s="86">
        <v>3585</v>
      </c>
      <c r="J3586" s="87">
        <v>1.0615725781640792</v>
      </c>
      <c r="K3586" s="87">
        <v>6.9050493255361554</v>
      </c>
    </row>
    <row r="3587" spans="9:11" x14ac:dyDescent="0.25">
      <c r="I3587" s="86">
        <v>3586</v>
      </c>
      <c r="J3587" s="87">
        <v>-8.1585985125210314E-2</v>
      </c>
      <c r="K3587" s="87">
        <v>4.8076821945342925</v>
      </c>
    </row>
    <row r="3588" spans="9:11" x14ac:dyDescent="0.25">
      <c r="I3588" s="86">
        <v>3587</v>
      </c>
      <c r="J3588" s="87">
        <v>-0.20146460680875311</v>
      </c>
      <c r="K3588" s="87">
        <v>5.3826189438601872</v>
      </c>
    </row>
    <row r="3589" spans="9:11" x14ac:dyDescent="0.25">
      <c r="I3589" s="86">
        <v>3588</v>
      </c>
      <c r="J3589" s="87">
        <v>0.76939263609650244</v>
      </c>
      <c r="K3589" s="87">
        <v>6.0539587534215551</v>
      </c>
    </row>
    <row r="3590" spans="9:11" x14ac:dyDescent="0.25">
      <c r="I3590" s="86">
        <v>3589</v>
      </c>
      <c r="J3590" s="87">
        <v>0.84989049447093468</v>
      </c>
      <c r="K3590" s="87">
        <v>5.832257859128859</v>
      </c>
    </row>
    <row r="3591" spans="9:11" x14ac:dyDescent="0.25">
      <c r="I3591" s="86">
        <v>3590</v>
      </c>
      <c r="J3591" s="87">
        <v>10.900687686815525</v>
      </c>
      <c r="K3591" s="87">
        <v>13.065279370705872</v>
      </c>
    </row>
    <row r="3592" spans="9:11" x14ac:dyDescent="0.25">
      <c r="I3592" s="86">
        <v>3591</v>
      </c>
      <c r="J3592" s="87">
        <v>2.926092478710042</v>
      </c>
      <c r="K3592" s="87">
        <v>7.9771428580839929</v>
      </c>
    </row>
    <row r="3593" spans="9:11" x14ac:dyDescent="0.25">
      <c r="I3593" s="86">
        <v>3592</v>
      </c>
      <c r="J3593" s="87">
        <v>-0.36302667695935842</v>
      </c>
      <c r="K3593" s="87">
        <v>5.6840047100751621</v>
      </c>
    </row>
    <row r="3594" spans="9:11" x14ac:dyDescent="0.25">
      <c r="I3594" s="86">
        <v>3593</v>
      </c>
      <c r="J3594" s="87">
        <v>4.2126298757943683</v>
      </c>
      <c r="K3594" s="87">
        <v>8.1016721271125345</v>
      </c>
    </row>
    <row r="3595" spans="9:11" x14ac:dyDescent="0.25">
      <c r="I3595" s="86">
        <v>3594</v>
      </c>
      <c r="J3595" s="87">
        <v>1.6662733316921621</v>
      </c>
      <c r="K3595" s="87">
        <v>6.2432084760011506</v>
      </c>
    </row>
    <row r="3596" spans="9:11" x14ac:dyDescent="0.25">
      <c r="I3596" s="86">
        <v>3595</v>
      </c>
      <c r="J3596" s="87">
        <v>5.407449118020943</v>
      </c>
      <c r="K3596" s="87">
        <v>9.3545294319447816</v>
      </c>
    </row>
    <row r="3597" spans="9:11" x14ac:dyDescent="0.25">
      <c r="I3597" s="86">
        <v>3596</v>
      </c>
      <c r="J3597" s="87">
        <v>1.4835957971627369</v>
      </c>
      <c r="K3597" s="87">
        <v>7.3457811248556411</v>
      </c>
    </row>
    <row r="3598" spans="9:11" x14ac:dyDescent="0.25">
      <c r="I3598" s="86">
        <v>3597</v>
      </c>
      <c r="J3598" s="87">
        <v>6.4439978189207903</v>
      </c>
      <c r="K3598" s="87">
        <v>10.303827410638847</v>
      </c>
    </row>
    <row r="3599" spans="9:11" x14ac:dyDescent="0.25">
      <c r="I3599" s="86">
        <v>3598</v>
      </c>
      <c r="J3599" s="87">
        <v>0.46823649909506848</v>
      </c>
      <c r="K3599" s="87">
        <v>6.1079731868801668</v>
      </c>
    </row>
    <row r="3600" spans="9:11" x14ac:dyDescent="0.25">
      <c r="I3600" s="86">
        <v>3599</v>
      </c>
      <c r="J3600" s="87">
        <v>1.3530513878238493</v>
      </c>
      <c r="K3600" s="87">
        <v>7.4704312936158015</v>
      </c>
    </row>
    <row r="3601" spans="9:11" x14ac:dyDescent="0.25">
      <c r="I3601" s="86">
        <v>3600</v>
      </c>
      <c r="J3601" s="87">
        <v>-0.51195983708113779</v>
      </c>
      <c r="K3601" s="87">
        <v>5.8074267836286033</v>
      </c>
    </row>
    <row r="3602" spans="9:11" x14ac:dyDescent="0.25">
      <c r="I3602" s="86">
        <v>3601</v>
      </c>
      <c r="J3602" s="87">
        <v>2.854319546617532</v>
      </c>
      <c r="K3602" s="87">
        <v>8.8489586123854789</v>
      </c>
    </row>
    <row r="3603" spans="9:11" x14ac:dyDescent="0.25">
      <c r="I3603" s="86">
        <v>3602</v>
      </c>
      <c r="J3603" s="87">
        <v>4.8672581950382972</v>
      </c>
      <c r="K3603" s="87">
        <v>9.4132924275988064</v>
      </c>
    </row>
    <row r="3604" spans="9:11" x14ac:dyDescent="0.25">
      <c r="I3604" s="86">
        <v>3603</v>
      </c>
      <c r="J3604" s="87">
        <v>2.5557704838276214</v>
      </c>
      <c r="K3604" s="87">
        <v>10.590053785297274</v>
      </c>
    </row>
    <row r="3605" spans="9:11" x14ac:dyDescent="0.25">
      <c r="I3605" s="86">
        <v>3604</v>
      </c>
      <c r="J3605" s="87">
        <v>-0.87604822812781347</v>
      </c>
      <c r="K3605" s="87">
        <v>6.4713443325873987</v>
      </c>
    </row>
    <row r="3606" spans="9:11" x14ac:dyDescent="0.25">
      <c r="I3606" s="86">
        <v>3605</v>
      </c>
      <c r="J3606" s="87">
        <v>4.1468216804729563</v>
      </c>
      <c r="K3606" s="87">
        <v>8.9119257708964827</v>
      </c>
    </row>
    <row r="3607" spans="9:11" x14ac:dyDescent="0.25">
      <c r="I3607" s="86">
        <v>3606</v>
      </c>
      <c r="J3607" s="87">
        <v>0.81055106156019008</v>
      </c>
      <c r="K3607" s="87">
        <v>5.8742610474028147</v>
      </c>
    </row>
    <row r="3608" spans="9:11" x14ac:dyDescent="0.25">
      <c r="I3608" s="86">
        <v>3607</v>
      </c>
      <c r="J3608" s="87">
        <v>-0.48394662651888076</v>
      </c>
      <c r="K3608" s="87">
        <v>4.4822891890095082</v>
      </c>
    </row>
    <row r="3609" spans="9:11" x14ac:dyDescent="0.25">
      <c r="I3609" s="86">
        <v>3608</v>
      </c>
      <c r="J3609" s="87">
        <v>6.6650511385418891</v>
      </c>
      <c r="K3609" s="87">
        <v>10.728860202365469</v>
      </c>
    </row>
    <row r="3610" spans="9:11" x14ac:dyDescent="0.25">
      <c r="I3610" s="86">
        <v>3609</v>
      </c>
      <c r="J3610" s="87">
        <v>1.6155675969435332</v>
      </c>
      <c r="K3610" s="87">
        <v>6.1864142911826612</v>
      </c>
    </row>
    <row r="3611" spans="9:11" x14ac:dyDescent="0.25">
      <c r="I3611" s="86">
        <v>3610</v>
      </c>
      <c r="J3611" s="87">
        <v>1.1932111642182925</v>
      </c>
      <c r="K3611" s="87">
        <v>4.2937609740678564</v>
      </c>
    </row>
    <row r="3612" spans="9:11" x14ac:dyDescent="0.25">
      <c r="I3612" s="86">
        <v>3611</v>
      </c>
      <c r="J3612" s="87">
        <v>0.75782113784983629</v>
      </c>
      <c r="K3612" s="87">
        <v>5.8226849306566502</v>
      </c>
    </row>
    <row r="3613" spans="9:11" x14ac:dyDescent="0.25">
      <c r="I3613" s="86">
        <v>3612</v>
      </c>
      <c r="J3613" s="87">
        <v>1.2181701095857971</v>
      </c>
      <c r="K3613" s="87">
        <v>6.8442160559844254</v>
      </c>
    </row>
    <row r="3614" spans="9:11" x14ac:dyDescent="0.25">
      <c r="I3614" s="86">
        <v>3613</v>
      </c>
      <c r="J3614" s="87">
        <v>3.3051521401744672</v>
      </c>
      <c r="K3614" s="87">
        <v>6.6440055449396933</v>
      </c>
    </row>
    <row r="3615" spans="9:11" x14ac:dyDescent="0.25">
      <c r="I3615" s="86">
        <v>3614</v>
      </c>
      <c r="J3615" s="87">
        <v>1.5786430635504276</v>
      </c>
      <c r="K3615" s="87">
        <v>7.5643642495332273</v>
      </c>
    </row>
    <row r="3616" spans="9:11" x14ac:dyDescent="0.25">
      <c r="I3616" s="86">
        <v>3615</v>
      </c>
      <c r="J3616" s="87">
        <v>1.6986147287858033</v>
      </c>
      <c r="K3616" s="87">
        <v>6.145952012869123</v>
      </c>
    </row>
    <row r="3617" spans="9:11" x14ac:dyDescent="0.25">
      <c r="I3617" s="86">
        <v>3616</v>
      </c>
      <c r="J3617" s="87">
        <v>2.4363240078204749</v>
      </c>
      <c r="K3617" s="87">
        <v>7.5155281514400372</v>
      </c>
    </row>
    <row r="3618" spans="9:11" x14ac:dyDescent="0.25">
      <c r="I3618" s="86">
        <v>3617</v>
      </c>
      <c r="J3618" s="87">
        <v>1.2702158038857356</v>
      </c>
      <c r="K3618" s="87">
        <v>5.677293417244587</v>
      </c>
    </row>
    <row r="3619" spans="9:11" x14ac:dyDescent="0.25">
      <c r="I3619" s="86">
        <v>3618</v>
      </c>
      <c r="J3619" s="87">
        <v>1.2062425496601472</v>
      </c>
      <c r="K3619" s="87">
        <v>5.9198147325295949</v>
      </c>
    </row>
    <row r="3620" spans="9:11" x14ac:dyDescent="0.25">
      <c r="I3620" s="86">
        <v>3619</v>
      </c>
      <c r="J3620" s="87">
        <v>0.58947701665543262</v>
      </c>
      <c r="K3620" s="87">
        <v>5.3432270216119901</v>
      </c>
    </row>
    <row r="3621" spans="9:11" x14ac:dyDescent="0.25">
      <c r="I3621" s="86">
        <v>3620</v>
      </c>
      <c r="J3621" s="87">
        <v>2.6993787010463679</v>
      </c>
      <c r="K3621" s="87">
        <v>8.4890955368845038</v>
      </c>
    </row>
    <row r="3622" spans="9:11" x14ac:dyDescent="0.25">
      <c r="I3622" s="86">
        <v>3621</v>
      </c>
      <c r="J3622" s="87">
        <v>-1.1939990902852546</v>
      </c>
      <c r="K3622" s="87">
        <v>5.2063892201659696</v>
      </c>
    </row>
    <row r="3623" spans="9:11" x14ac:dyDescent="0.25">
      <c r="I3623" s="86">
        <v>3622</v>
      </c>
      <c r="J3623" s="87">
        <v>1.7814379445725335</v>
      </c>
      <c r="K3623" s="87">
        <v>6.1192695871137506</v>
      </c>
    </row>
    <row r="3624" spans="9:11" x14ac:dyDescent="0.25">
      <c r="I3624" s="86">
        <v>3623</v>
      </c>
      <c r="J3624" s="87">
        <v>2.2631991629685722</v>
      </c>
      <c r="K3624" s="87">
        <v>6.8664561734802572</v>
      </c>
    </row>
    <row r="3625" spans="9:11" x14ac:dyDescent="0.25">
      <c r="I3625" s="86">
        <v>3624</v>
      </c>
      <c r="J3625" s="87">
        <v>2.4064133034443511</v>
      </c>
      <c r="K3625" s="87">
        <v>7.3099222325536992</v>
      </c>
    </row>
    <row r="3626" spans="9:11" x14ac:dyDescent="0.25">
      <c r="I3626" s="86">
        <v>3625</v>
      </c>
      <c r="J3626" s="87">
        <v>1.689552727310037</v>
      </c>
      <c r="K3626" s="87">
        <v>7.7612973581243514</v>
      </c>
    </row>
    <row r="3627" spans="9:11" x14ac:dyDescent="0.25">
      <c r="I3627" s="86">
        <v>3626</v>
      </c>
      <c r="J3627" s="87">
        <v>-0.43351265919793391</v>
      </c>
      <c r="K3627" s="87">
        <v>5.286707936032097</v>
      </c>
    </row>
    <row r="3628" spans="9:11" x14ac:dyDescent="0.25">
      <c r="I3628" s="86">
        <v>3627</v>
      </c>
      <c r="J3628" s="87">
        <v>1.9006950248891936</v>
      </c>
      <c r="K3628" s="87">
        <v>6.4117617979172978</v>
      </c>
    </row>
    <row r="3629" spans="9:11" x14ac:dyDescent="0.25">
      <c r="I3629" s="86">
        <v>3628</v>
      </c>
      <c r="J3629" s="87">
        <v>-1.7497491394370766</v>
      </c>
      <c r="K3629" s="87">
        <v>4.1353479827958637</v>
      </c>
    </row>
    <row r="3630" spans="9:11" x14ac:dyDescent="0.25">
      <c r="I3630" s="86">
        <v>3629</v>
      </c>
      <c r="J3630" s="87">
        <v>2.2493904064473949</v>
      </c>
      <c r="K3630" s="87">
        <v>8.7873258757649158</v>
      </c>
    </row>
    <row r="3631" spans="9:11" x14ac:dyDescent="0.25">
      <c r="I3631" s="86">
        <v>3630</v>
      </c>
      <c r="J3631" s="87">
        <v>0.25575683072929323</v>
      </c>
      <c r="K3631" s="87">
        <v>5.9828306086537593</v>
      </c>
    </row>
    <row r="3632" spans="9:11" x14ac:dyDescent="0.25">
      <c r="I3632" s="86">
        <v>3631</v>
      </c>
      <c r="J3632" s="87">
        <v>8.081336071275409</v>
      </c>
      <c r="K3632" s="87">
        <v>12.339792796663925</v>
      </c>
    </row>
    <row r="3633" spans="9:11" x14ac:dyDescent="0.25">
      <c r="I3633" s="86">
        <v>3632</v>
      </c>
      <c r="J3633" s="87">
        <v>3.8605486557950632</v>
      </c>
      <c r="K3633" s="87">
        <v>7.6491775134664506</v>
      </c>
    </row>
    <row r="3634" spans="9:11" x14ac:dyDescent="0.25">
      <c r="I3634" s="86">
        <v>3633</v>
      </c>
      <c r="J3634" s="87">
        <v>0.55920351111104694</v>
      </c>
      <c r="K3634" s="87">
        <v>4.6975186403475275</v>
      </c>
    </row>
    <row r="3635" spans="9:11" x14ac:dyDescent="0.25">
      <c r="I3635" s="86">
        <v>3634</v>
      </c>
      <c r="J3635" s="87">
        <v>-0.89224039027351854</v>
      </c>
      <c r="K3635" s="87">
        <v>5.0685510777278822</v>
      </c>
    </row>
    <row r="3636" spans="9:11" x14ac:dyDescent="0.25">
      <c r="I3636" s="86">
        <v>3635</v>
      </c>
      <c r="J3636" s="87">
        <v>1.0451548933504959</v>
      </c>
      <c r="K3636" s="87">
        <v>6.950030029901356</v>
      </c>
    </row>
    <row r="3637" spans="9:11" x14ac:dyDescent="0.25">
      <c r="I3637" s="86">
        <v>3636</v>
      </c>
      <c r="J3637" s="87">
        <v>-1.2066930940160612</v>
      </c>
      <c r="K3637" s="87">
        <v>5.4702319557837926</v>
      </c>
    </row>
    <row r="3638" spans="9:11" x14ac:dyDescent="0.25">
      <c r="I3638" s="86">
        <v>3637</v>
      </c>
      <c r="J3638" s="87">
        <v>3.2033194913891947</v>
      </c>
      <c r="K3638" s="87">
        <v>7.6986891812033855</v>
      </c>
    </row>
    <row r="3639" spans="9:11" x14ac:dyDescent="0.25">
      <c r="I3639" s="86">
        <v>3638</v>
      </c>
      <c r="J3639" s="87">
        <v>2.2638668417619163</v>
      </c>
      <c r="K3639" s="87">
        <v>6.5380527744935959</v>
      </c>
    </row>
    <row r="3640" spans="9:11" x14ac:dyDescent="0.25">
      <c r="I3640" s="86">
        <v>3639</v>
      </c>
      <c r="J3640" s="87">
        <v>1.8804140443508652</v>
      </c>
      <c r="K3640" s="87">
        <v>7.2151361878137577</v>
      </c>
    </row>
    <row r="3641" spans="9:11" x14ac:dyDescent="0.25">
      <c r="I3641" s="86">
        <v>3640</v>
      </c>
      <c r="J3641" s="87">
        <v>0.6501154870753707</v>
      </c>
      <c r="K3641" s="87">
        <v>7.7604969459805853</v>
      </c>
    </row>
    <row r="3642" spans="9:11" x14ac:dyDescent="0.25">
      <c r="I3642" s="86">
        <v>3641</v>
      </c>
      <c r="J3642" s="87">
        <v>2.5603053582589332</v>
      </c>
      <c r="K3642" s="87">
        <v>8.0733186485292432</v>
      </c>
    </row>
    <row r="3643" spans="9:11" x14ac:dyDescent="0.25">
      <c r="I3643" s="86">
        <v>3642</v>
      </c>
      <c r="J3643" s="87">
        <v>3.0109892002887779</v>
      </c>
      <c r="K3643" s="87">
        <v>7.5850444246392978</v>
      </c>
    </row>
    <row r="3644" spans="9:11" x14ac:dyDescent="0.25">
      <c r="I3644" s="86">
        <v>3643</v>
      </c>
      <c r="J3644" s="87">
        <v>1.7774252458361368</v>
      </c>
      <c r="K3644" s="87">
        <v>5.850208237443856</v>
      </c>
    </row>
    <row r="3645" spans="9:11" x14ac:dyDescent="0.25">
      <c r="I3645" s="86">
        <v>3644</v>
      </c>
      <c r="J3645" s="87">
        <v>0.33989198992147962</v>
      </c>
      <c r="K3645" s="87">
        <v>6.180467999443203</v>
      </c>
    </row>
    <row r="3646" spans="9:11" x14ac:dyDescent="0.25">
      <c r="I3646" s="86">
        <v>3645</v>
      </c>
      <c r="J3646" s="87">
        <v>1.5079897851916577</v>
      </c>
      <c r="K3646" s="87">
        <v>7.1094946624588369</v>
      </c>
    </row>
    <row r="3647" spans="9:11" x14ac:dyDescent="0.25">
      <c r="I3647" s="86">
        <v>3646</v>
      </c>
      <c r="J3647" s="87">
        <v>0.61472053046573638</v>
      </c>
      <c r="K3647" s="87">
        <v>6.407796549821942</v>
      </c>
    </row>
    <row r="3648" spans="9:11" x14ac:dyDescent="0.25">
      <c r="I3648" s="86">
        <v>3647</v>
      </c>
      <c r="J3648" s="87">
        <v>4.2483312028225804</v>
      </c>
      <c r="K3648" s="87">
        <v>7.967578649143042</v>
      </c>
    </row>
    <row r="3649" spans="9:11" x14ac:dyDescent="0.25">
      <c r="I3649" s="86">
        <v>3648</v>
      </c>
      <c r="J3649" s="87">
        <v>6.0667291510222574</v>
      </c>
      <c r="K3649" s="87">
        <v>8.7355524300231409</v>
      </c>
    </row>
    <row r="3650" spans="9:11" x14ac:dyDescent="0.25">
      <c r="I3650" s="86">
        <v>3649</v>
      </c>
      <c r="J3650" s="87">
        <v>-0.53906108179836743</v>
      </c>
      <c r="K3650" s="87">
        <v>5.2309170502248534</v>
      </c>
    </row>
    <row r="3651" spans="9:11" x14ac:dyDescent="0.25">
      <c r="I3651" s="86">
        <v>3650</v>
      </c>
      <c r="J3651" s="87">
        <v>2.1862391189944121</v>
      </c>
      <c r="K3651" s="87">
        <v>7.6832877847298695</v>
      </c>
    </row>
    <row r="3652" spans="9:11" x14ac:dyDescent="0.25">
      <c r="I3652" s="86">
        <v>3651</v>
      </c>
      <c r="J3652" s="87">
        <v>2.6266703305488797</v>
      </c>
      <c r="K3652" s="87">
        <v>7.0326933383418577</v>
      </c>
    </row>
    <row r="3653" spans="9:11" x14ac:dyDescent="0.25">
      <c r="I3653" s="86">
        <v>3652</v>
      </c>
      <c r="J3653" s="87">
        <v>0.21791405922957274</v>
      </c>
      <c r="K3653" s="87">
        <v>7.5011471138494317</v>
      </c>
    </row>
    <row r="3654" spans="9:11" x14ac:dyDescent="0.25">
      <c r="I3654" s="86">
        <v>3653</v>
      </c>
      <c r="J3654" s="87">
        <v>1.1600756432211545</v>
      </c>
      <c r="K3654" s="87">
        <v>6.5570012009954795</v>
      </c>
    </row>
    <row r="3655" spans="9:11" x14ac:dyDescent="0.25">
      <c r="I3655" s="86">
        <v>3654</v>
      </c>
      <c r="J3655" s="87">
        <v>2.3205327450456723</v>
      </c>
      <c r="K3655" s="87">
        <v>7.746428308800116</v>
      </c>
    </row>
    <row r="3656" spans="9:11" x14ac:dyDescent="0.25">
      <c r="I3656" s="86">
        <v>3655</v>
      </c>
      <c r="J3656" s="87">
        <v>3.640807314598975</v>
      </c>
      <c r="K3656" s="87">
        <v>8.1835624303371368</v>
      </c>
    </row>
    <row r="3657" spans="9:11" x14ac:dyDescent="0.25">
      <c r="I3657" s="86">
        <v>3656</v>
      </c>
      <c r="J3657" s="87">
        <v>1.1064251324560064</v>
      </c>
      <c r="K3657" s="87">
        <v>5.8728324480142664</v>
      </c>
    </row>
    <row r="3658" spans="9:11" x14ac:dyDescent="0.25">
      <c r="I3658" s="86">
        <v>3657</v>
      </c>
      <c r="J3658" s="87">
        <v>1.7500812807831778</v>
      </c>
      <c r="K3658" s="87">
        <v>5.32025393994721</v>
      </c>
    </row>
    <row r="3659" spans="9:11" x14ac:dyDescent="0.25">
      <c r="I3659" s="86">
        <v>3658</v>
      </c>
      <c r="J3659" s="87">
        <v>0.90716117489931758</v>
      </c>
      <c r="K3659" s="87">
        <v>7.7948436274135613</v>
      </c>
    </row>
    <row r="3660" spans="9:11" x14ac:dyDescent="0.25">
      <c r="I3660" s="86">
        <v>3659</v>
      </c>
      <c r="J3660" s="87">
        <v>1.8870042039207329</v>
      </c>
      <c r="K3660" s="87">
        <v>7.4108819539114714</v>
      </c>
    </row>
    <row r="3661" spans="9:11" x14ac:dyDescent="0.25">
      <c r="I3661" s="86">
        <v>3660</v>
      </c>
      <c r="J3661" s="87">
        <v>1.7531477732174361</v>
      </c>
      <c r="K3661" s="87">
        <v>7.9626196827973779</v>
      </c>
    </row>
    <row r="3662" spans="9:11" x14ac:dyDescent="0.25">
      <c r="I3662" s="86">
        <v>3661</v>
      </c>
      <c r="J3662" s="87">
        <v>0.9389857962978132</v>
      </c>
      <c r="K3662" s="87">
        <v>7.7931064086911706</v>
      </c>
    </row>
    <row r="3663" spans="9:11" x14ac:dyDescent="0.25">
      <c r="I3663" s="86">
        <v>3662</v>
      </c>
      <c r="J3663" s="87">
        <v>-0.19255481909458982</v>
      </c>
      <c r="K3663" s="87">
        <v>5.6163399219269028</v>
      </c>
    </row>
    <row r="3664" spans="9:11" x14ac:dyDescent="0.25">
      <c r="I3664" s="86">
        <v>3663</v>
      </c>
      <c r="J3664" s="87">
        <v>2.6056120027318652</v>
      </c>
      <c r="K3664" s="87">
        <v>6.956863919921803</v>
      </c>
    </row>
    <row r="3665" spans="9:11" x14ac:dyDescent="0.25">
      <c r="I3665" s="86">
        <v>3664</v>
      </c>
      <c r="J3665" s="87">
        <v>1.3899879693399733</v>
      </c>
      <c r="K3665" s="87">
        <v>7.4939620345626246</v>
      </c>
    </row>
    <row r="3666" spans="9:11" x14ac:dyDescent="0.25">
      <c r="I3666" s="86">
        <v>3665</v>
      </c>
      <c r="J3666" s="87">
        <v>3.6532607750535515</v>
      </c>
      <c r="K3666" s="87">
        <v>7.416776303666909</v>
      </c>
    </row>
    <row r="3667" spans="9:11" x14ac:dyDescent="0.25">
      <c r="I3667" s="86">
        <v>3666</v>
      </c>
      <c r="J3667" s="87">
        <v>1.7173714091912</v>
      </c>
      <c r="K3667" s="87">
        <v>7.7975303427630864</v>
      </c>
    </row>
    <row r="3668" spans="9:11" x14ac:dyDescent="0.25">
      <c r="I3668" s="86">
        <v>3667</v>
      </c>
      <c r="J3668" s="87">
        <v>1.498264065994074</v>
      </c>
      <c r="K3668" s="87">
        <v>6.3622080619726464</v>
      </c>
    </row>
    <row r="3669" spans="9:11" x14ac:dyDescent="0.25">
      <c r="I3669" s="86">
        <v>3668</v>
      </c>
      <c r="J3669" s="87">
        <v>1.0510185159646008</v>
      </c>
      <c r="K3669" s="87">
        <v>6.9310568521329792</v>
      </c>
    </row>
    <row r="3670" spans="9:11" x14ac:dyDescent="0.25">
      <c r="I3670" s="86">
        <v>3669</v>
      </c>
      <c r="J3670" s="87">
        <v>2.2464708352609168</v>
      </c>
      <c r="K3670" s="87">
        <v>5.4673666127504985</v>
      </c>
    </row>
    <row r="3671" spans="9:11" x14ac:dyDescent="0.25">
      <c r="I3671" s="86">
        <v>3670</v>
      </c>
      <c r="J3671" s="87">
        <v>2.907423794435025</v>
      </c>
      <c r="K3671" s="87">
        <v>9.3409564659252577</v>
      </c>
    </row>
    <row r="3672" spans="9:11" x14ac:dyDescent="0.25">
      <c r="I3672" s="86">
        <v>3671</v>
      </c>
      <c r="J3672" s="87">
        <v>0.69124588780346707</v>
      </c>
      <c r="K3672" s="87">
        <v>4.8195684513280685</v>
      </c>
    </row>
    <row r="3673" spans="9:11" x14ac:dyDescent="0.25">
      <c r="I3673" s="86">
        <v>3672</v>
      </c>
      <c r="J3673" s="87">
        <v>-1.7417443346142978</v>
      </c>
      <c r="K3673" s="87">
        <v>4.8449125730603289</v>
      </c>
    </row>
    <row r="3674" spans="9:11" x14ac:dyDescent="0.25">
      <c r="I3674" s="86">
        <v>3673</v>
      </c>
      <c r="J3674" s="87">
        <v>-1.8296879357636842</v>
      </c>
      <c r="K3674" s="87">
        <v>4.8893613531985238</v>
      </c>
    </row>
    <row r="3675" spans="9:11" x14ac:dyDescent="0.25">
      <c r="I3675" s="86">
        <v>3674</v>
      </c>
      <c r="J3675" s="87">
        <v>2.9006357904686615</v>
      </c>
      <c r="K3675" s="87">
        <v>10.292144087926538</v>
      </c>
    </row>
    <row r="3676" spans="9:11" x14ac:dyDescent="0.25">
      <c r="I3676" s="86">
        <v>3675</v>
      </c>
      <c r="J3676" s="87">
        <v>-0.24025848201010636</v>
      </c>
      <c r="K3676" s="87">
        <v>5.7793512293090066</v>
      </c>
    </row>
    <row r="3677" spans="9:11" x14ac:dyDescent="0.25">
      <c r="I3677" s="86">
        <v>3676</v>
      </c>
      <c r="J3677" s="87">
        <v>-1.1872426602444985</v>
      </c>
      <c r="K3677" s="87">
        <v>6.3578071822348132</v>
      </c>
    </row>
    <row r="3678" spans="9:11" x14ac:dyDescent="0.25">
      <c r="I3678" s="86">
        <v>3677</v>
      </c>
      <c r="J3678" s="87">
        <v>1.3636735908255853</v>
      </c>
      <c r="K3678" s="87">
        <v>7.9243515877154191</v>
      </c>
    </row>
    <row r="3679" spans="9:11" x14ac:dyDescent="0.25">
      <c r="I3679" s="86">
        <v>3678</v>
      </c>
      <c r="J3679" s="87">
        <v>1.9187615453096485</v>
      </c>
      <c r="K3679" s="87">
        <v>5.2410660144572185</v>
      </c>
    </row>
    <row r="3680" spans="9:11" x14ac:dyDescent="0.25">
      <c r="I3680" s="86">
        <v>3679</v>
      </c>
      <c r="J3680" s="87">
        <v>1.8647354142604966</v>
      </c>
      <c r="K3680" s="87">
        <v>8.0742598495216438</v>
      </c>
    </row>
    <row r="3681" spans="9:11" x14ac:dyDescent="0.25">
      <c r="I3681" s="86">
        <v>3680</v>
      </c>
      <c r="J3681" s="87">
        <v>1.5479054593606056</v>
      </c>
      <c r="K3681" s="87">
        <v>6.5358941614288097</v>
      </c>
    </row>
    <row r="3682" spans="9:11" x14ac:dyDescent="0.25">
      <c r="I3682" s="86">
        <v>3681</v>
      </c>
      <c r="J3682" s="87">
        <v>0.71074665468778786</v>
      </c>
      <c r="K3682" s="87">
        <v>5.8558871930970282</v>
      </c>
    </row>
    <row r="3683" spans="9:11" x14ac:dyDescent="0.25">
      <c r="I3683" s="86">
        <v>3682</v>
      </c>
      <c r="J3683" s="87">
        <v>-1.5177006028668734</v>
      </c>
      <c r="K3683" s="87">
        <v>5.7665004574529517</v>
      </c>
    </row>
    <row r="3684" spans="9:11" x14ac:dyDescent="0.25">
      <c r="I3684" s="86">
        <v>3683</v>
      </c>
      <c r="J3684" s="87">
        <v>0.3326578544816492</v>
      </c>
      <c r="K3684" s="87">
        <v>6.8910022028020617</v>
      </c>
    </row>
    <row r="3685" spans="9:11" x14ac:dyDescent="0.25">
      <c r="I3685" s="86">
        <v>3684</v>
      </c>
      <c r="J3685" s="87">
        <v>0.72136613911349157</v>
      </c>
      <c r="K3685" s="87">
        <v>5.4270756390559844</v>
      </c>
    </row>
    <row r="3686" spans="9:11" x14ac:dyDescent="0.25">
      <c r="I3686" s="86">
        <v>3685</v>
      </c>
      <c r="J3686" s="87">
        <v>2.2393432020244095</v>
      </c>
      <c r="K3686" s="87">
        <v>7.3422764551377702</v>
      </c>
    </row>
    <row r="3687" spans="9:11" x14ac:dyDescent="0.25">
      <c r="I3687" s="86">
        <v>3686</v>
      </c>
      <c r="J3687" s="87">
        <v>0.99291471785357954</v>
      </c>
      <c r="K3687" s="87">
        <v>5.1206076407902277</v>
      </c>
    </row>
    <row r="3688" spans="9:11" x14ac:dyDescent="0.25">
      <c r="I3688" s="86">
        <v>3687</v>
      </c>
      <c r="J3688" s="87">
        <v>7.0271807175572967</v>
      </c>
      <c r="K3688" s="87">
        <v>10.474286599105188</v>
      </c>
    </row>
    <row r="3689" spans="9:11" x14ac:dyDescent="0.25">
      <c r="I3689" s="86">
        <v>3688</v>
      </c>
      <c r="J3689" s="87">
        <v>0.84871922629248875</v>
      </c>
      <c r="K3689" s="87">
        <v>5.7142465689225261</v>
      </c>
    </row>
    <row r="3690" spans="9:11" x14ac:dyDescent="0.25">
      <c r="I3690" s="86">
        <v>3689</v>
      </c>
      <c r="J3690" s="87">
        <v>3.6898440078123897</v>
      </c>
      <c r="K3690" s="87">
        <v>9.1660389690076229</v>
      </c>
    </row>
    <row r="3691" spans="9:11" x14ac:dyDescent="0.25">
      <c r="I3691" s="86">
        <v>3690</v>
      </c>
      <c r="J3691" s="87">
        <v>2.8296431046984525</v>
      </c>
      <c r="K3691" s="87">
        <v>6.8510301519861132</v>
      </c>
    </row>
    <row r="3692" spans="9:11" x14ac:dyDescent="0.25">
      <c r="I3692" s="86">
        <v>3691</v>
      </c>
      <c r="J3692" s="87">
        <v>1.4214852761440619</v>
      </c>
      <c r="K3692" s="87">
        <v>7.0664851143673779</v>
      </c>
    </row>
    <row r="3693" spans="9:11" x14ac:dyDescent="0.25">
      <c r="I3693" s="86">
        <v>3692</v>
      </c>
      <c r="J3693" s="87">
        <v>0.78690064890155931</v>
      </c>
      <c r="K3693" s="87">
        <v>7.4577953748171977</v>
      </c>
    </row>
    <row r="3694" spans="9:11" x14ac:dyDescent="0.25">
      <c r="I3694" s="86">
        <v>3693</v>
      </c>
      <c r="J3694" s="87">
        <v>3.0928109406109137</v>
      </c>
      <c r="K3694" s="87">
        <v>7.1465872567908404</v>
      </c>
    </row>
    <row r="3695" spans="9:11" x14ac:dyDescent="0.25">
      <c r="I3695" s="86">
        <v>3694</v>
      </c>
      <c r="J3695" s="87">
        <v>3.6727066067791849</v>
      </c>
      <c r="K3695" s="87">
        <v>7.2716580481072484</v>
      </c>
    </row>
    <row r="3696" spans="9:11" x14ac:dyDescent="0.25">
      <c r="I3696" s="86">
        <v>3695</v>
      </c>
      <c r="J3696" s="87">
        <v>2.2222463029968313</v>
      </c>
      <c r="K3696" s="87">
        <v>6.9853927580163955</v>
      </c>
    </row>
    <row r="3697" spans="9:11" x14ac:dyDescent="0.25">
      <c r="I3697" s="86">
        <v>3696</v>
      </c>
      <c r="J3697" s="87">
        <v>0.49245845074770189</v>
      </c>
      <c r="K3697" s="87">
        <v>5.024678051084333</v>
      </c>
    </row>
    <row r="3698" spans="9:11" x14ac:dyDescent="0.25">
      <c r="I3698" s="86">
        <v>3697</v>
      </c>
      <c r="J3698" s="87">
        <v>1.1864433328601152</v>
      </c>
      <c r="K3698" s="87">
        <v>5.672442373792081</v>
      </c>
    </row>
    <row r="3699" spans="9:11" x14ac:dyDescent="0.25">
      <c r="I3699" s="86">
        <v>3698</v>
      </c>
      <c r="J3699" s="87">
        <v>4.3065965391624079</v>
      </c>
      <c r="K3699" s="87">
        <v>8.1643832578205267</v>
      </c>
    </row>
    <row r="3700" spans="9:11" x14ac:dyDescent="0.25">
      <c r="I3700" s="86">
        <v>3699</v>
      </c>
      <c r="J3700" s="87">
        <v>1.7809618596165544</v>
      </c>
      <c r="K3700" s="87">
        <v>6.8150832652469662</v>
      </c>
    </row>
    <row r="3701" spans="9:11" x14ac:dyDescent="0.25">
      <c r="I3701" s="86">
        <v>3700</v>
      </c>
      <c r="J3701" s="87">
        <v>3.5932078298237187</v>
      </c>
      <c r="K3701" s="87">
        <v>8.0713747624916561</v>
      </c>
    </row>
    <row r="3702" spans="9:11" x14ac:dyDescent="0.25">
      <c r="I3702" s="86">
        <v>3701</v>
      </c>
      <c r="J3702" s="87">
        <v>-1.5196340314823606</v>
      </c>
      <c r="K3702" s="87">
        <v>5.2910136202784477</v>
      </c>
    </row>
    <row r="3703" spans="9:11" x14ac:dyDescent="0.25">
      <c r="I3703" s="86">
        <v>3702</v>
      </c>
      <c r="J3703" s="87">
        <v>5.3698337089141877</v>
      </c>
      <c r="K3703" s="87">
        <v>7.8774478684619673</v>
      </c>
    </row>
    <row r="3704" spans="9:11" x14ac:dyDescent="0.25">
      <c r="I3704" s="86">
        <v>3703</v>
      </c>
      <c r="J3704" s="87">
        <v>2.127065041594502</v>
      </c>
      <c r="K3704" s="87">
        <v>7.9856658429824812</v>
      </c>
    </row>
    <row r="3705" spans="9:11" x14ac:dyDescent="0.25">
      <c r="I3705" s="86">
        <v>3704</v>
      </c>
      <c r="J3705" s="87">
        <v>3.1663970531892236</v>
      </c>
      <c r="K3705" s="87">
        <v>9.6709199201541729</v>
      </c>
    </row>
    <row r="3706" spans="9:11" x14ac:dyDescent="0.25">
      <c r="I3706" s="86">
        <v>3705</v>
      </c>
      <c r="J3706" s="87">
        <v>-2.0625589036264667</v>
      </c>
      <c r="K3706" s="87">
        <v>4.3155188456510736</v>
      </c>
    </row>
    <row r="3707" spans="9:11" x14ac:dyDescent="0.25">
      <c r="I3707" s="86">
        <v>3706</v>
      </c>
      <c r="J3707" s="87">
        <v>0.30727155012371909</v>
      </c>
      <c r="K3707" s="87">
        <v>5.0974342465402653</v>
      </c>
    </row>
    <row r="3708" spans="9:11" x14ac:dyDescent="0.25">
      <c r="I3708" s="86">
        <v>3707</v>
      </c>
      <c r="J3708" s="87">
        <v>2.2563382761471811</v>
      </c>
      <c r="K3708" s="87">
        <v>8.4090220714663122</v>
      </c>
    </row>
    <row r="3709" spans="9:11" x14ac:dyDescent="0.25">
      <c r="I3709" s="86">
        <v>3708</v>
      </c>
      <c r="J3709" s="87">
        <v>1.6979255869760896</v>
      </c>
      <c r="K3709" s="87">
        <v>6.9361864566197191</v>
      </c>
    </row>
    <row r="3710" spans="9:11" x14ac:dyDescent="0.25">
      <c r="I3710" s="86">
        <v>3709</v>
      </c>
      <c r="J3710" s="87">
        <v>6.6596553278927022</v>
      </c>
      <c r="K3710" s="87">
        <v>12.28768603742623</v>
      </c>
    </row>
    <row r="3711" spans="9:11" x14ac:dyDescent="0.25">
      <c r="I3711" s="86">
        <v>3710</v>
      </c>
      <c r="J3711" s="87">
        <v>2.1905389925461334</v>
      </c>
      <c r="K3711" s="87">
        <v>7.7937692152020439</v>
      </c>
    </row>
    <row r="3712" spans="9:11" x14ac:dyDescent="0.25">
      <c r="I3712" s="86">
        <v>3711</v>
      </c>
      <c r="J3712" s="87">
        <v>-0.59335286671226939</v>
      </c>
      <c r="K3712" s="87">
        <v>5.9451886378246979</v>
      </c>
    </row>
    <row r="3713" spans="9:11" x14ac:dyDescent="0.25">
      <c r="I3713" s="86">
        <v>3712</v>
      </c>
      <c r="J3713" s="87">
        <v>4.3749609242815719</v>
      </c>
      <c r="K3713" s="87">
        <v>8.8371189824718392</v>
      </c>
    </row>
    <row r="3714" spans="9:11" x14ac:dyDescent="0.25">
      <c r="I3714" s="86">
        <v>3713</v>
      </c>
      <c r="J3714" s="87">
        <v>2.9125988827309026</v>
      </c>
      <c r="K3714" s="87">
        <v>8.4999046170808334</v>
      </c>
    </row>
    <row r="3715" spans="9:11" x14ac:dyDescent="0.25">
      <c r="I3715" s="86">
        <v>3714</v>
      </c>
      <c r="J3715" s="87">
        <v>7.6993245151891099</v>
      </c>
      <c r="K3715" s="87">
        <v>9.027327521680526</v>
      </c>
    </row>
    <row r="3716" spans="9:11" x14ac:dyDescent="0.25">
      <c r="I3716" s="86">
        <v>3715</v>
      </c>
      <c r="J3716" s="87">
        <v>1.7003685037961551</v>
      </c>
      <c r="K3716" s="87">
        <v>7.2659201205086781</v>
      </c>
    </row>
    <row r="3717" spans="9:11" x14ac:dyDescent="0.25">
      <c r="I3717" s="86">
        <v>3716</v>
      </c>
      <c r="J3717" s="87">
        <v>4.8562997280058564</v>
      </c>
      <c r="K3717" s="87">
        <v>8.5495160824988741</v>
      </c>
    </row>
    <row r="3718" spans="9:11" x14ac:dyDescent="0.25">
      <c r="I3718" s="86">
        <v>3717</v>
      </c>
      <c r="J3718" s="87">
        <v>1.6416536248445102</v>
      </c>
      <c r="K3718" s="87">
        <v>8.7835575522438258</v>
      </c>
    </row>
    <row r="3719" spans="9:11" x14ac:dyDescent="0.25">
      <c r="I3719" s="86">
        <v>3718</v>
      </c>
      <c r="J3719" s="87">
        <v>-0.37191604937508682</v>
      </c>
      <c r="K3719" s="87">
        <v>4.9605395927234737</v>
      </c>
    </row>
    <row r="3720" spans="9:11" x14ac:dyDescent="0.25">
      <c r="I3720" s="86">
        <v>3719</v>
      </c>
      <c r="J3720" s="87">
        <v>1.628706736788093</v>
      </c>
      <c r="K3720" s="87">
        <v>7.0381069018244169</v>
      </c>
    </row>
    <row r="3721" spans="9:11" x14ac:dyDescent="0.25">
      <c r="I3721" s="86">
        <v>3720</v>
      </c>
      <c r="J3721" s="87">
        <v>-0.99393419223301249</v>
      </c>
      <c r="K3721" s="87">
        <v>4.1482667469354633</v>
      </c>
    </row>
    <row r="3722" spans="9:11" x14ac:dyDescent="0.25">
      <c r="I3722" s="86">
        <v>3721</v>
      </c>
      <c r="J3722" s="87">
        <v>-0.49954929427670081</v>
      </c>
      <c r="K3722" s="87">
        <v>4.9179324695559705</v>
      </c>
    </row>
    <row r="3723" spans="9:11" x14ac:dyDescent="0.25">
      <c r="I3723" s="86">
        <v>3722</v>
      </c>
      <c r="J3723" s="87">
        <v>0.92075363250523523</v>
      </c>
      <c r="K3723" s="87">
        <v>6.5298080053881957</v>
      </c>
    </row>
    <row r="3724" spans="9:11" x14ac:dyDescent="0.25">
      <c r="I3724" s="86">
        <v>3723</v>
      </c>
      <c r="J3724" s="87">
        <v>-2.5479002017789161</v>
      </c>
      <c r="K3724" s="87">
        <v>4.7470781592028732</v>
      </c>
    </row>
    <row r="3725" spans="9:11" x14ac:dyDescent="0.25">
      <c r="I3725" s="86">
        <v>3724</v>
      </c>
      <c r="J3725" s="87">
        <v>-0.27189182008044455</v>
      </c>
      <c r="K3725" s="87">
        <v>5.1536445311254431</v>
      </c>
    </row>
    <row r="3726" spans="9:11" x14ac:dyDescent="0.25">
      <c r="I3726" s="86">
        <v>3725</v>
      </c>
      <c r="J3726" s="87">
        <v>0.69415606828099463</v>
      </c>
      <c r="K3726" s="87">
        <v>5.5869771703641478</v>
      </c>
    </row>
    <row r="3727" spans="9:11" x14ac:dyDescent="0.25">
      <c r="I3727" s="86">
        <v>3726</v>
      </c>
      <c r="J3727" s="87">
        <v>1.3557563950315181</v>
      </c>
      <c r="K3727" s="87">
        <v>6.9421408156988695</v>
      </c>
    </row>
    <row r="3728" spans="9:11" x14ac:dyDescent="0.25">
      <c r="I3728" s="86">
        <v>3727</v>
      </c>
      <c r="J3728" s="87">
        <v>0.83975727140783807</v>
      </c>
      <c r="K3728" s="87">
        <v>6.6796316439922139</v>
      </c>
    </row>
    <row r="3729" spans="9:11" x14ac:dyDescent="0.25">
      <c r="I3729" s="86">
        <v>3728</v>
      </c>
      <c r="J3729" s="87">
        <v>4.4193258567148792</v>
      </c>
      <c r="K3729" s="87">
        <v>6.7813522762698542</v>
      </c>
    </row>
    <row r="3730" spans="9:11" x14ac:dyDescent="0.25">
      <c r="I3730" s="86">
        <v>3729</v>
      </c>
      <c r="J3730" s="87">
        <v>1.2694845794325529</v>
      </c>
      <c r="K3730" s="87">
        <v>6.5432118791306637</v>
      </c>
    </row>
    <row r="3731" spans="9:11" x14ac:dyDescent="0.25">
      <c r="I3731" s="86">
        <v>3730</v>
      </c>
      <c r="J3731" s="87">
        <v>1.7204995263708387</v>
      </c>
      <c r="K3731" s="87">
        <v>8.3156403079920871</v>
      </c>
    </row>
    <row r="3732" spans="9:11" x14ac:dyDescent="0.25">
      <c r="I3732" s="86">
        <v>3731</v>
      </c>
      <c r="J3732" s="87">
        <v>1.0041554235967736</v>
      </c>
      <c r="K3732" s="87">
        <v>8.9301959784563127</v>
      </c>
    </row>
    <row r="3733" spans="9:11" x14ac:dyDescent="0.25">
      <c r="I3733" s="86">
        <v>3732</v>
      </c>
      <c r="J3733" s="87">
        <v>7.2580911234798311</v>
      </c>
      <c r="K3733" s="87">
        <v>8.7311460433071648</v>
      </c>
    </row>
    <row r="3734" spans="9:11" x14ac:dyDescent="0.25">
      <c r="I3734" s="86">
        <v>3733</v>
      </c>
      <c r="J3734" s="87">
        <v>0.39756583849427507</v>
      </c>
      <c r="K3734" s="87">
        <v>5.6626069202596439</v>
      </c>
    </row>
    <row r="3735" spans="9:11" x14ac:dyDescent="0.25">
      <c r="I3735" s="86">
        <v>3734</v>
      </c>
      <c r="J3735" s="87">
        <v>-0.13049463870525679</v>
      </c>
      <c r="K3735" s="87">
        <v>3.9579411566388112</v>
      </c>
    </row>
    <row r="3736" spans="9:11" x14ac:dyDescent="0.25">
      <c r="I3736" s="86">
        <v>3735</v>
      </c>
      <c r="J3736" s="87">
        <v>0.56168625741908818</v>
      </c>
      <c r="K3736" s="87">
        <v>5.5175437969608492</v>
      </c>
    </row>
    <row r="3737" spans="9:11" x14ac:dyDescent="0.25">
      <c r="I3737" s="86">
        <v>3736</v>
      </c>
      <c r="J3737" s="87">
        <v>3.8191662093920371</v>
      </c>
      <c r="K3737" s="87">
        <v>8.0418790442094288</v>
      </c>
    </row>
    <row r="3738" spans="9:11" x14ac:dyDescent="0.25">
      <c r="I3738" s="86">
        <v>3737</v>
      </c>
      <c r="J3738" s="87">
        <v>2.7384521305802094</v>
      </c>
      <c r="K3738" s="87">
        <v>7.6964174322189463</v>
      </c>
    </row>
    <row r="3739" spans="9:11" x14ac:dyDescent="0.25">
      <c r="I3739" s="86">
        <v>3738</v>
      </c>
      <c r="J3739" s="87">
        <v>2.6595508903491663</v>
      </c>
      <c r="K3739" s="87">
        <v>10.359898714697382</v>
      </c>
    </row>
    <row r="3740" spans="9:11" x14ac:dyDescent="0.25">
      <c r="I3740" s="86">
        <v>3739</v>
      </c>
      <c r="J3740" s="87">
        <v>3.2316524932654263</v>
      </c>
      <c r="K3740" s="87">
        <v>9.9063772932488003</v>
      </c>
    </row>
    <row r="3741" spans="9:11" x14ac:dyDescent="0.25">
      <c r="I3741" s="86">
        <v>3740</v>
      </c>
      <c r="J3741" s="87">
        <v>3.3958801806211127</v>
      </c>
      <c r="K3741" s="87">
        <v>7.9821221199525736</v>
      </c>
    </row>
    <row r="3742" spans="9:11" x14ac:dyDescent="0.25">
      <c r="I3742" s="86">
        <v>3741</v>
      </c>
      <c r="J3742" s="87">
        <v>0.77490965821940616</v>
      </c>
      <c r="K3742" s="87">
        <v>7.2567476233499661</v>
      </c>
    </row>
    <row r="3743" spans="9:11" x14ac:dyDescent="0.25">
      <c r="I3743" s="86">
        <v>3742</v>
      </c>
      <c r="J3743" s="87">
        <v>2.4190691512378368</v>
      </c>
      <c r="K3743" s="87">
        <v>6.4908281291831811</v>
      </c>
    </row>
    <row r="3744" spans="9:11" x14ac:dyDescent="0.25">
      <c r="I3744" s="86">
        <v>3743</v>
      </c>
      <c r="J3744" s="87">
        <v>3.3569104867424109</v>
      </c>
      <c r="K3744" s="87">
        <v>6.4272681548910189</v>
      </c>
    </row>
    <row r="3745" spans="9:11" x14ac:dyDescent="0.25">
      <c r="I3745" s="86">
        <v>3744</v>
      </c>
      <c r="J3745" s="87">
        <v>1.9995104477006675</v>
      </c>
      <c r="K3745" s="87">
        <v>7.5512497209484764</v>
      </c>
    </row>
    <row r="3746" spans="9:11" x14ac:dyDescent="0.25">
      <c r="I3746" s="86">
        <v>3745</v>
      </c>
      <c r="J3746" s="87">
        <v>0.39643245973313723</v>
      </c>
      <c r="K3746" s="87">
        <v>4.891525123283472</v>
      </c>
    </row>
    <row r="3747" spans="9:11" x14ac:dyDescent="0.25">
      <c r="I3747" s="86">
        <v>3746</v>
      </c>
      <c r="J3747" s="87">
        <v>1.0392942854977103</v>
      </c>
      <c r="K3747" s="87">
        <v>5.1262812318211006</v>
      </c>
    </row>
    <row r="3748" spans="9:11" x14ac:dyDescent="0.25">
      <c r="I3748" s="86">
        <v>3747</v>
      </c>
      <c r="J3748" s="87">
        <v>1.2413222893472269</v>
      </c>
      <c r="K3748" s="87">
        <v>6.2948684806453654</v>
      </c>
    </row>
    <row r="3749" spans="9:11" x14ac:dyDescent="0.25">
      <c r="I3749" s="86">
        <v>3748</v>
      </c>
      <c r="J3749" s="87">
        <v>-0.10073193535574987</v>
      </c>
      <c r="K3749" s="87">
        <v>5.6163773172214091</v>
      </c>
    </row>
    <row r="3750" spans="9:11" x14ac:dyDescent="0.25">
      <c r="I3750" s="86">
        <v>3749</v>
      </c>
      <c r="J3750" s="87">
        <v>1.5646594712710185</v>
      </c>
      <c r="K3750" s="87">
        <v>7.5212136379545607</v>
      </c>
    </row>
    <row r="3751" spans="9:11" x14ac:dyDescent="0.25">
      <c r="I3751" s="86">
        <v>3750</v>
      </c>
      <c r="J3751" s="87">
        <v>-0.32702819047880016</v>
      </c>
      <c r="K3751" s="87">
        <v>5.5056374115781228</v>
      </c>
    </row>
    <row r="3752" spans="9:11" x14ac:dyDescent="0.25">
      <c r="I3752" s="86">
        <v>3751</v>
      </c>
      <c r="J3752" s="87">
        <v>2.1872880798978995</v>
      </c>
      <c r="K3752" s="87">
        <v>7.7133820896571503</v>
      </c>
    </row>
    <row r="3753" spans="9:11" x14ac:dyDescent="0.25">
      <c r="I3753" s="86">
        <v>3752</v>
      </c>
      <c r="J3753" s="87">
        <v>-1.3746251052588754E-2</v>
      </c>
      <c r="K3753" s="87">
        <v>5.7828317877770949</v>
      </c>
    </row>
    <row r="3754" spans="9:11" x14ac:dyDescent="0.25">
      <c r="I3754" s="86">
        <v>3753</v>
      </c>
      <c r="J3754" s="87">
        <v>0.31801267897797025</v>
      </c>
      <c r="K3754" s="87">
        <v>6.2387295729937149</v>
      </c>
    </row>
    <row r="3755" spans="9:11" x14ac:dyDescent="0.25">
      <c r="I3755" s="86">
        <v>3754</v>
      </c>
      <c r="J3755" s="87">
        <v>4.3281894052668628</v>
      </c>
      <c r="K3755" s="87">
        <v>8.65614996981434</v>
      </c>
    </row>
    <row r="3756" spans="9:11" x14ac:dyDescent="0.25">
      <c r="I3756" s="86">
        <v>3755</v>
      </c>
      <c r="J3756" s="87">
        <v>-0.25797421380263508</v>
      </c>
      <c r="K3756" s="87">
        <v>5.2503286590386749</v>
      </c>
    </row>
    <row r="3757" spans="9:11" x14ac:dyDescent="0.25">
      <c r="I3757" s="86">
        <v>3756</v>
      </c>
      <c r="J3757" s="87">
        <v>-1.8234015580350604</v>
      </c>
      <c r="K3757" s="87">
        <v>4.8768562761532204</v>
      </c>
    </row>
    <row r="3758" spans="9:11" x14ac:dyDescent="0.25">
      <c r="I3758" s="86">
        <v>3757</v>
      </c>
      <c r="J3758" s="87">
        <v>1.4087772460032273</v>
      </c>
      <c r="K3758" s="87">
        <v>5.6812567758879684</v>
      </c>
    </row>
    <row r="3759" spans="9:11" x14ac:dyDescent="0.25">
      <c r="I3759" s="86">
        <v>3758</v>
      </c>
      <c r="J3759" s="87">
        <v>0.94583027524774366</v>
      </c>
      <c r="K3759" s="87">
        <v>6.3501593292413476</v>
      </c>
    </row>
    <row r="3760" spans="9:11" x14ac:dyDescent="0.25">
      <c r="I3760" s="86">
        <v>3759</v>
      </c>
      <c r="J3760" s="87">
        <v>-0.28966667356650699</v>
      </c>
      <c r="K3760" s="87">
        <v>4.6723359082106777</v>
      </c>
    </row>
    <row r="3761" spans="9:11" x14ac:dyDescent="0.25">
      <c r="I3761" s="86">
        <v>3760</v>
      </c>
      <c r="J3761" s="87">
        <v>1.373665231276096</v>
      </c>
      <c r="K3761" s="87">
        <v>5.9067883773542702</v>
      </c>
    </row>
    <row r="3762" spans="9:11" x14ac:dyDescent="0.25">
      <c r="I3762" s="86">
        <v>3761</v>
      </c>
      <c r="J3762" s="87">
        <v>1.0196874905701856</v>
      </c>
      <c r="K3762" s="87">
        <v>6.1718707964903921</v>
      </c>
    </row>
    <row r="3763" spans="9:11" x14ac:dyDescent="0.25">
      <c r="I3763" s="86">
        <v>3762</v>
      </c>
      <c r="J3763" s="87">
        <v>-0.91403958806767704</v>
      </c>
      <c r="K3763" s="87">
        <v>5.014840613954938</v>
      </c>
    </row>
    <row r="3764" spans="9:11" x14ac:dyDescent="0.25">
      <c r="I3764" s="86">
        <v>3763</v>
      </c>
      <c r="J3764" s="87">
        <v>4.9637549756361032E-2</v>
      </c>
      <c r="K3764" s="87">
        <v>7.651151695651885</v>
      </c>
    </row>
    <row r="3765" spans="9:11" x14ac:dyDescent="0.25">
      <c r="I3765" s="86">
        <v>3764</v>
      </c>
      <c r="J3765" s="87">
        <v>0.68115715651527164</v>
      </c>
      <c r="K3765" s="87">
        <v>7.1057795463055689</v>
      </c>
    </row>
    <row r="3766" spans="9:11" x14ac:dyDescent="0.25">
      <c r="I3766" s="86">
        <v>3765</v>
      </c>
      <c r="J3766" s="87">
        <v>0.64638359574248216</v>
      </c>
      <c r="K3766" s="87">
        <v>7.8200942658635579</v>
      </c>
    </row>
    <row r="3767" spans="9:11" x14ac:dyDescent="0.25">
      <c r="I3767" s="86">
        <v>3766</v>
      </c>
      <c r="J3767" s="87">
        <v>0.73872468559009175</v>
      </c>
      <c r="K3767" s="87">
        <v>7.3309319573532683</v>
      </c>
    </row>
    <row r="3768" spans="9:11" x14ac:dyDescent="0.25">
      <c r="I3768" s="86">
        <v>3767</v>
      </c>
      <c r="J3768" s="87">
        <v>1.6154499095037416</v>
      </c>
      <c r="K3768" s="87">
        <v>6.3184709635782186</v>
      </c>
    </row>
    <row r="3769" spans="9:11" x14ac:dyDescent="0.25">
      <c r="I3769" s="86">
        <v>3768</v>
      </c>
      <c r="J3769" s="87">
        <v>9.682686980119648E-3</v>
      </c>
      <c r="K3769" s="87">
        <v>5.2238499343614251</v>
      </c>
    </row>
    <row r="3770" spans="9:11" x14ac:dyDescent="0.25">
      <c r="I3770" s="86">
        <v>3769</v>
      </c>
      <c r="J3770" s="87">
        <v>2.0639634258641095</v>
      </c>
      <c r="K3770" s="87">
        <v>7.291615349113683</v>
      </c>
    </row>
    <row r="3771" spans="9:11" x14ac:dyDescent="0.25">
      <c r="I3771" s="86">
        <v>3770</v>
      </c>
      <c r="J3771" s="87">
        <v>0.53153100600614156</v>
      </c>
      <c r="K3771" s="87">
        <v>5.9279080823910402</v>
      </c>
    </row>
    <row r="3772" spans="9:11" x14ac:dyDescent="0.25">
      <c r="I3772" s="86">
        <v>3771</v>
      </c>
      <c r="J3772" s="87">
        <v>0.31856420244261185</v>
      </c>
      <c r="K3772" s="87">
        <v>4.931214534066541</v>
      </c>
    </row>
    <row r="3773" spans="9:11" x14ac:dyDescent="0.25">
      <c r="I3773" s="86">
        <v>3772</v>
      </c>
      <c r="J3773" s="87">
        <v>3.2405720480546103</v>
      </c>
      <c r="K3773" s="87">
        <v>5.5110415546273055</v>
      </c>
    </row>
    <row r="3774" spans="9:11" x14ac:dyDescent="0.25">
      <c r="I3774" s="86">
        <v>3773</v>
      </c>
      <c r="J3774" s="87">
        <v>0.94504793855997882</v>
      </c>
      <c r="K3774" s="87">
        <v>5.8087519126607141</v>
      </c>
    </row>
    <row r="3775" spans="9:11" x14ac:dyDescent="0.25">
      <c r="I3775" s="86">
        <v>3774</v>
      </c>
      <c r="J3775" s="87">
        <v>-1.180486257245466</v>
      </c>
      <c r="K3775" s="87">
        <v>6.2112506420809179</v>
      </c>
    </row>
    <row r="3776" spans="9:11" x14ac:dyDescent="0.25">
      <c r="I3776" s="86">
        <v>3775</v>
      </c>
      <c r="J3776" s="87">
        <v>1.9425087857500616</v>
      </c>
      <c r="K3776" s="87">
        <v>6.3620399037425974</v>
      </c>
    </row>
    <row r="3777" spans="9:11" x14ac:dyDescent="0.25">
      <c r="I3777" s="86">
        <v>3776</v>
      </c>
      <c r="J3777" s="87">
        <v>3.8524486457848983</v>
      </c>
      <c r="K3777" s="87">
        <v>9.0707434470546549</v>
      </c>
    </row>
    <row r="3778" spans="9:11" x14ac:dyDescent="0.25">
      <c r="I3778" s="86">
        <v>3777</v>
      </c>
      <c r="J3778" s="87">
        <v>-1.0794263324337878</v>
      </c>
      <c r="K3778" s="87">
        <v>6.2261684424639885</v>
      </c>
    </row>
    <row r="3779" spans="9:11" x14ac:dyDescent="0.25">
      <c r="I3779" s="86">
        <v>3778</v>
      </c>
      <c r="J3779" s="87">
        <v>2.0162274499765624</v>
      </c>
      <c r="K3779" s="87">
        <v>7.9742738294564921</v>
      </c>
    </row>
    <row r="3780" spans="9:11" x14ac:dyDescent="0.25">
      <c r="I3780" s="86">
        <v>3779</v>
      </c>
      <c r="J3780" s="87">
        <v>0.37967411093676162</v>
      </c>
      <c r="K3780" s="87">
        <v>6.145425625660228</v>
      </c>
    </row>
    <row r="3781" spans="9:11" x14ac:dyDescent="0.25">
      <c r="I3781" s="86">
        <v>3780</v>
      </c>
      <c r="J3781" s="87">
        <v>0.63994815724457155</v>
      </c>
      <c r="K3781" s="87">
        <v>7.5916399895536246</v>
      </c>
    </row>
    <row r="3782" spans="9:11" x14ac:dyDescent="0.25">
      <c r="I3782" s="86">
        <v>3781</v>
      </c>
      <c r="J3782" s="87">
        <v>1.6167219997444819</v>
      </c>
      <c r="K3782" s="87">
        <v>6.0431540234948242</v>
      </c>
    </row>
    <row r="3783" spans="9:11" x14ac:dyDescent="0.25">
      <c r="I3783" s="86">
        <v>3782</v>
      </c>
      <c r="J3783" s="87">
        <v>0.27927089691233942</v>
      </c>
      <c r="K3783" s="87">
        <v>5.2526620110119104</v>
      </c>
    </row>
    <row r="3784" spans="9:11" x14ac:dyDescent="0.25">
      <c r="I3784" s="86">
        <v>3783</v>
      </c>
      <c r="J3784" s="87">
        <v>0.6378233899548249</v>
      </c>
      <c r="K3784" s="87">
        <v>6.8057963592829385</v>
      </c>
    </row>
    <row r="3785" spans="9:11" x14ac:dyDescent="0.25">
      <c r="I3785" s="86">
        <v>3784</v>
      </c>
      <c r="J3785" s="87">
        <v>-0.66886765600732101</v>
      </c>
      <c r="K3785" s="87">
        <v>5.9131251931783897</v>
      </c>
    </row>
    <row r="3786" spans="9:11" x14ac:dyDescent="0.25">
      <c r="I3786" s="86">
        <v>3785</v>
      </c>
      <c r="J3786" s="87">
        <v>2.8228184378700991</v>
      </c>
      <c r="K3786" s="87">
        <v>6.3683976069601815</v>
      </c>
    </row>
    <row r="3787" spans="9:11" x14ac:dyDescent="0.25">
      <c r="I3787" s="86">
        <v>3786</v>
      </c>
      <c r="J3787" s="87">
        <v>2.1263214432948478</v>
      </c>
      <c r="K3787" s="87">
        <v>8.5246655491395185</v>
      </c>
    </row>
    <row r="3788" spans="9:11" x14ac:dyDescent="0.25">
      <c r="I3788" s="86">
        <v>3787</v>
      </c>
      <c r="J3788" s="87">
        <v>2.9142199943476159</v>
      </c>
      <c r="K3788" s="87">
        <v>9.1780258702748014</v>
      </c>
    </row>
    <row r="3789" spans="9:11" x14ac:dyDescent="0.25">
      <c r="I3789" s="86">
        <v>3788</v>
      </c>
      <c r="J3789" s="87">
        <v>4.6699376983015544</v>
      </c>
      <c r="K3789" s="87">
        <v>9.3395546415823532</v>
      </c>
    </row>
    <row r="3790" spans="9:11" x14ac:dyDescent="0.25">
      <c r="I3790" s="86">
        <v>3789</v>
      </c>
      <c r="J3790" s="87">
        <v>3.8533605906165298</v>
      </c>
      <c r="K3790" s="87">
        <v>5.625880590869091</v>
      </c>
    </row>
    <row r="3791" spans="9:11" x14ac:dyDescent="0.25">
      <c r="I3791" s="86">
        <v>3790</v>
      </c>
      <c r="J3791" s="87">
        <v>3.4972441821916975</v>
      </c>
      <c r="K3791" s="87">
        <v>8.2994901483762789</v>
      </c>
    </row>
    <row r="3792" spans="9:11" x14ac:dyDescent="0.25">
      <c r="I3792" s="86">
        <v>3791</v>
      </c>
      <c r="J3792" s="87">
        <v>10.55839617439835</v>
      </c>
      <c r="K3792" s="87">
        <v>11.880071481424258</v>
      </c>
    </row>
    <row r="3793" spans="9:11" x14ac:dyDescent="0.25">
      <c r="I3793" s="86">
        <v>3792</v>
      </c>
      <c r="J3793" s="87">
        <v>1.888278329173473</v>
      </c>
      <c r="K3793" s="87">
        <v>7.2788922816054251</v>
      </c>
    </row>
    <row r="3794" spans="9:11" x14ac:dyDescent="0.25">
      <c r="I3794" s="86">
        <v>3793</v>
      </c>
      <c r="J3794" s="87">
        <v>2.0083636493344752</v>
      </c>
      <c r="K3794" s="87">
        <v>8.087921937745957</v>
      </c>
    </row>
    <row r="3795" spans="9:11" x14ac:dyDescent="0.25">
      <c r="I3795" s="86">
        <v>3794</v>
      </c>
      <c r="J3795" s="87">
        <v>1.2625377204042758</v>
      </c>
      <c r="K3795" s="87">
        <v>6.3874557060791721</v>
      </c>
    </row>
    <row r="3796" spans="9:11" x14ac:dyDescent="0.25">
      <c r="I3796" s="86">
        <v>3795</v>
      </c>
      <c r="J3796" s="87">
        <v>2.9660566995960309</v>
      </c>
      <c r="K3796" s="87">
        <v>7.070489300119573</v>
      </c>
    </row>
    <row r="3797" spans="9:11" x14ac:dyDescent="0.25">
      <c r="I3797" s="86">
        <v>3796</v>
      </c>
      <c r="J3797" s="87">
        <v>-1.7329289565156389</v>
      </c>
      <c r="K3797" s="87">
        <v>4.5346108664375819</v>
      </c>
    </row>
    <row r="3798" spans="9:11" x14ac:dyDescent="0.25">
      <c r="I3798" s="86">
        <v>3797</v>
      </c>
      <c r="J3798" s="87">
        <v>2.0731622583233871</v>
      </c>
      <c r="K3798" s="87">
        <v>5.6794905522395087</v>
      </c>
    </row>
    <row r="3799" spans="9:11" x14ac:dyDescent="0.25">
      <c r="I3799" s="86">
        <v>3798</v>
      </c>
      <c r="J3799" s="87">
        <v>0.47673756498625686</v>
      </c>
      <c r="K3799" s="87">
        <v>6.5074858135682065</v>
      </c>
    </row>
    <row r="3800" spans="9:11" x14ac:dyDescent="0.25">
      <c r="I3800" s="86">
        <v>3799</v>
      </c>
      <c r="J3800" s="87">
        <v>1.0596836770120901</v>
      </c>
      <c r="K3800" s="87">
        <v>5.5085141501017629</v>
      </c>
    </row>
    <row r="3801" spans="9:11" x14ac:dyDescent="0.25">
      <c r="I3801" s="86">
        <v>3800</v>
      </c>
      <c r="J3801" s="87">
        <v>2.0716692338588683</v>
      </c>
      <c r="K3801" s="87">
        <v>5.8407068838425884</v>
      </c>
    </row>
    <row r="3802" spans="9:11" x14ac:dyDescent="0.25">
      <c r="I3802" s="86">
        <v>3801</v>
      </c>
      <c r="J3802" s="87">
        <v>0.9707896684904207</v>
      </c>
      <c r="K3802" s="87">
        <v>5.7847557094604749</v>
      </c>
    </row>
    <row r="3803" spans="9:11" x14ac:dyDescent="0.25">
      <c r="I3803" s="86">
        <v>3802</v>
      </c>
      <c r="J3803" s="87">
        <v>3.0406246931395247</v>
      </c>
      <c r="K3803" s="87">
        <v>7.9970381458762096</v>
      </c>
    </row>
    <row r="3804" spans="9:11" x14ac:dyDescent="0.25">
      <c r="I3804" s="86">
        <v>3803</v>
      </c>
      <c r="J3804" s="87">
        <v>1.7422578461824871</v>
      </c>
      <c r="K3804" s="87">
        <v>9.8710130553386559</v>
      </c>
    </row>
    <row r="3805" spans="9:11" x14ac:dyDescent="0.25">
      <c r="I3805" s="86">
        <v>3804</v>
      </c>
      <c r="J3805" s="87">
        <v>4.0371658036729343</v>
      </c>
      <c r="K3805" s="87">
        <v>6.1174754096131405</v>
      </c>
    </row>
    <row r="3806" spans="9:11" x14ac:dyDescent="0.25">
      <c r="I3806" s="86">
        <v>3805</v>
      </c>
      <c r="J3806" s="87">
        <v>2.7448858232111011</v>
      </c>
      <c r="K3806" s="87">
        <v>6.8498562958455533</v>
      </c>
    </row>
    <row r="3807" spans="9:11" x14ac:dyDescent="0.25">
      <c r="I3807" s="86">
        <v>3806</v>
      </c>
      <c r="J3807" s="87">
        <v>3.3467955162908076</v>
      </c>
      <c r="K3807" s="87">
        <v>5.8725410824767792</v>
      </c>
    </row>
    <row r="3808" spans="9:11" x14ac:dyDescent="0.25">
      <c r="I3808" s="86">
        <v>3807</v>
      </c>
      <c r="J3808" s="87">
        <v>-0.44925638519588151</v>
      </c>
      <c r="K3808" s="87">
        <v>5.8318341500344735</v>
      </c>
    </row>
    <row r="3809" spans="9:11" x14ac:dyDescent="0.25">
      <c r="I3809" s="86">
        <v>3808</v>
      </c>
      <c r="J3809" s="87">
        <v>3.5392639694091566</v>
      </c>
      <c r="K3809" s="87">
        <v>7.9380520194926127</v>
      </c>
    </row>
    <row r="3810" spans="9:11" x14ac:dyDescent="0.25">
      <c r="I3810" s="86">
        <v>3809</v>
      </c>
      <c r="J3810" s="87">
        <v>0.22669015635838585</v>
      </c>
      <c r="K3810" s="87">
        <v>4.458944549511898</v>
      </c>
    </row>
    <row r="3811" spans="9:11" x14ac:dyDescent="0.25">
      <c r="I3811" s="86">
        <v>3810</v>
      </c>
      <c r="J3811" s="87">
        <v>6.0787608486358238</v>
      </c>
      <c r="K3811" s="87">
        <v>11.019944069266696</v>
      </c>
    </row>
    <row r="3812" spans="9:11" x14ac:dyDescent="0.25">
      <c r="I3812" s="86">
        <v>3811</v>
      </c>
      <c r="J3812" s="87">
        <v>1.8390887943885401</v>
      </c>
      <c r="K3812" s="87">
        <v>7.8158710855524411</v>
      </c>
    </row>
    <row r="3813" spans="9:11" x14ac:dyDescent="0.25">
      <c r="I3813" s="86">
        <v>3812</v>
      </c>
      <c r="J3813" s="87">
        <v>0.32107061496264588</v>
      </c>
      <c r="K3813" s="87">
        <v>5.9719231483307889</v>
      </c>
    </row>
    <row r="3814" spans="9:11" x14ac:dyDescent="0.25">
      <c r="I3814" s="86">
        <v>3813</v>
      </c>
      <c r="J3814" s="87">
        <v>2.9731962600064508</v>
      </c>
      <c r="K3814" s="87">
        <v>6.0768891483624383</v>
      </c>
    </row>
    <row r="3815" spans="9:11" x14ac:dyDescent="0.25">
      <c r="I3815" s="86">
        <v>3814</v>
      </c>
      <c r="J3815" s="87">
        <v>-0.60120800879563596</v>
      </c>
      <c r="K3815" s="87">
        <v>5.2068664307193293</v>
      </c>
    </row>
    <row r="3816" spans="9:11" x14ac:dyDescent="0.25">
      <c r="I3816" s="86">
        <v>3815</v>
      </c>
      <c r="J3816" s="87">
        <v>3.0890269535479913</v>
      </c>
      <c r="K3816" s="87">
        <v>7.2691199200724093</v>
      </c>
    </row>
    <row r="3817" spans="9:11" x14ac:dyDescent="0.25">
      <c r="I3817" s="86">
        <v>3816</v>
      </c>
      <c r="J3817" s="87">
        <v>11.39545316218349</v>
      </c>
      <c r="K3817" s="87">
        <v>13.189667966358073</v>
      </c>
    </row>
    <row r="3818" spans="9:11" x14ac:dyDescent="0.25">
      <c r="I3818" s="86">
        <v>3817</v>
      </c>
      <c r="J3818" s="87">
        <v>3.3403572841177969</v>
      </c>
      <c r="K3818" s="87">
        <v>6.6239366785001028</v>
      </c>
    </row>
    <row r="3819" spans="9:11" x14ac:dyDescent="0.25">
      <c r="I3819" s="86">
        <v>3818</v>
      </c>
      <c r="J3819" s="87">
        <v>13.400868196023751</v>
      </c>
      <c r="K3819" s="87">
        <v>14.044318905878715</v>
      </c>
    </row>
    <row r="3820" spans="9:11" x14ac:dyDescent="0.25">
      <c r="I3820" s="86">
        <v>3819</v>
      </c>
      <c r="J3820" s="87">
        <v>-0.35347753671122817</v>
      </c>
      <c r="K3820" s="87">
        <v>6.5092604753292029</v>
      </c>
    </row>
    <row r="3821" spans="9:11" x14ac:dyDescent="0.25">
      <c r="I3821" s="86">
        <v>3820</v>
      </c>
      <c r="J3821" s="87">
        <v>-0.29436143409594173</v>
      </c>
      <c r="K3821" s="87">
        <v>5.8237435003237881</v>
      </c>
    </row>
    <row r="3822" spans="9:11" x14ac:dyDescent="0.25">
      <c r="I3822" s="86">
        <v>3821</v>
      </c>
      <c r="J3822" s="87">
        <v>2.6855241422018965</v>
      </c>
      <c r="K3822" s="87">
        <v>8.7781276821821148</v>
      </c>
    </row>
    <row r="3823" spans="9:11" x14ac:dyDescent="0.25">
      <c r="I3823" s="86">
        <v>3822</v>
      </c>
      <c r="J3823" s="87">
        <v>4.3909727851171976</v>
      </c>
      <c r="K3823" s="87">
        <v>7.1661218615902698</v>
      </c>
    </row>
    <row r="3824" spans="9:11" x14ac:dyDescent="0.25">
      <c r="I3824" s="86">
        <v>3823</v>
      </c>
      <c r="J3824" s="87">
        <v>-0.7684841894578458</v>
      </c>
      <c r="K3824" s="87">
        <v>4.9154026780355498</v>
      </c>
    </row>
    <row r="3825" spans="9:11" x14ac:dyDescent="0.25">
      <c r="I3825" s="86">
        <v>3824</v>
      </c>
      <c r="J3825" s="87">
        <v>1.5554431874582901</v>
      </c>
      <c r="K3825" s="87">
        <v>8.0224189329251878</v>
      </c>
    </row>
    <row r="3826" spans="9:11" x14ac:dyDescent="0.25">
      <c r="I3826" s="86">
        <v>3825</v>
      </c>
      <c r="J3826" s="87">
        <v>1.1095138953206432</v>
      </c>
      <c r="K3826" s="87">
        <v>5.1591880893304509</v>
      </c>
    </row>
    <row r="3827" spans="9:11" x14ac:dyDescent="0.25">
      <c r="I3827" s="86">
        <v>3826</v>
      </c>
      <c r="J3827" s="87">
        <v>0.6692389903119107</v>
      </c>
      <c r="K3827" s="87">
        <v>7.3314515448111628</v>
      </c>
    </row>
    <row r="3828" spans="9:11" x14ac:dyDescent="0.25">
      <c r="I3828" s="86">
        <v>3827</v>
      </c>
      <c r="J3828" s="87">
        <v>3.3291718249141162</v>
      </c>
      <c r="K3828" s="87">
        <v>6.8392024290754811</v>
      </c>
    </row>
    <row r="3829" spans="9:11" x14ac:dyDescent="0.25">
      <c r="I3829" s="86">
        <v>3828</v>
      </c>
      <c r="J3829" s="87">
        <v>-0.15468783297327615</v>
      </c>
      <c r="K3829" s="87">
        <v>4.6161261136805516</v>
      </c>
    </row>
    <row r="3830" spans="9:11" x14ac:dyDescent="0.25">
      <c r="I3830" s="86">
        <v>3829</v>
      </c>
      <c r="J3830" s="87">
        <v>1.1188561969326836</v>
      </c>
      <c r="K3830" s="87">
        <v>7.7467392849378944</v>
      </c>
    </row>
    <row r="3831" spans="9:11" x14ac:dyDescent="0.25">
      <c r="I3831" s="86">
        <v>3830</v>
      </c>
      <c r="J3831" s="87">
        <v>3.1107323672175209</v>
      </c>
      <c r="K3831" s="87">
        <v>7.0183034545545526</v>
      </c>
    </row>
    <row r="3832" spans="9:11" x14ac:dyDescent="0.25">
      <c r="I3832" s="86">
        <v>3831</v>
      </c>
      <c r="J3832" s="87">
        <v>4.5999215694237225</v>
      </c>
      <c r="K3832" s="87">
        <v>7.8468595668323422</v>
      </c>
    </row>
    <row r="3833" spans="9:11" x14ac:dyDescent="0.25">
      <c r="I3833" s="86">
        <v>3832</v>
      </c>
      <c r="J3833" s="87">
        <v>3.6539708373427011</v>
      </c>
      <c r="K3833" s="87">
        <v>9.1955483645662515</v>
      </c>
    </row>
    <row r="3834" spans="9:11" x14ac:dyDescent="0.25">
      <c r="I3834" s="86">
        <v>3833</v>
      </c>
      <c r="J3834" s="87">
        <v>-1.5042177677002222E-2</v>
      </c>
      <c r="K3834" s="87">
        <v>5.9905644622930279</v>
      </c>
    </row>
    <row r="3835" spans="9:11" x14ac:dyDescent="0.25">
      <c r="I3835" s="86">
        <v>3834</v>
      </c>
      <c r="J3835" s="87">
        <v>2.4819275936635412</v>
      </c>
      <c r="K3835" s="87">
        <v>8.0878875245728512</v>
      </c>
    </row>
    <row r="3836" spans="9:11" x14ac:dyDescent="0.25">
      <c r="I3836" s="86">
        <v>3835</v>
      </c>
      <c r="J3836" s="87">
        <v>-0.29066453012042093</v>
      </c>
      <c r="K3836" s="87">
        <v>5.6314087130416643</v>
      </c>
    </row>
    <row r="3837" spans="9:11" x14ac:dyDescent="0.25">
      <c r="I3837" s="86">
        <v>3836</v>
      </c>
      <c r="J3837" s="87">
        <v>3.0701894420698563</v>
      </c>
      <c r="K3837" s="87">
        <v>7.5246047501734337</v>
      </c>
    </row>
    <row r="3838" spans="9:11" x14ac:dyDescent="0.25">
      <c r="I3838" s="86">
        <v>3837</v>
      </c>
      <c r="J3838" s="87">
        <v>0.73457801644344745</v>
      </c>
      <c r="K3838" s="87">
        <v>7.6298855222380375</v>
      </c>
    </row>
    <row r="3839" spans="9:11" x14ac:dyDescent="0.25">
      <c r="I3839" s="86">
        <v>3838</v>
      </c>
      <c r="J3839" s="87">
        <v>1.3060916816014672</v>
      </c>
      <c r="K3839" s="87">
        <v>6.415752294186718</v>
      </c>
    </row>
    <row r="3840" spans="9:11" x14ac:dyDescent="0.25">
      <c r="I3840" s="86">
        <v>3839</v>
      </c>
      <c r="J3840" s="87">
        <v>0.53093314933039082</v>
      </c>
      <c r="K3840" s="87">
        <v>4.8857257900580313</v>
      </c>
    </row>
    <row r="3841" spans="9:11" x14ac:dyDescent="0.25">
      <c r="I3841" s="86">
        <v>3840</v>
      </c>
      <c r="J3841" s="87">
        <v>2.6812001467382709</v>
      </c>
      <c r="K3841" s="87">
        <v>7.6546040312123331</v>
      </c>
    </row>
    <row r="3842" spans="9:11" x14ac:dyDescent="0.25">
      <c r="I3842" s="86">
        <v>3841</v>
      </c>
      <c r="J3842" s="87">
        <v>2.2539181481138968</v>
      </c>
      <c r="K3842" s="87">
        <v>7.4325151327948253</v>
      </c>
    </row>
    <row r="3843" spans="9:11" x14ac:dyDescent="0.25">
      <c r="I3843" s="86">
        <v>3842</v>
      </c>
      <c r="J3843" s="87">
        <v>-0.89528443705782257</v>
      </c>
      <c r="K3843" s="87">
        <v>4.5010473323128739</v>
      </c>
    </row>
    <row r="3844" spans="9:11" x14ac:dyDescent="0.25">
      <c r="I3844" s="86">
        <v>3843</v>
      </c>
      <c r="J3844" s="87">
        <v>1.8056862029372702</v>
      </c>
      <c r="K3844" s="87">
        <v>5.2242088202446757</v>
      </c>
    </row>
    <row r="3845" spans="9:11" x14ac:dyDescent="0.25">
      <c r="I3845" s="86">
        <v>3844</v>
      </c>
      <c r="J3845" s="87">
        <v>1.5020615687602907</v>
      </c>
      <c r="K3845" s="87">
        <v>7.6731662275548445</v>
      </c>
    </row>
    <row r="3846" spans="9:11" x14ac:dyDescent="0.25">
      <c r="I3846" s="86">
        <v>3845</v>
      </c>
      <c r="J3846" s="87">
        <v>2.3253545645342086</v>
      </c>
      <c r="K3846" s="87">
        <v>9.5062041462021938</v>
      </c>
    </row>
    <row r="3847" spans="9:11" x14ac:dyDescent="0.25">
      <c r="I3847" s="86">
        <v>3846</v>
      </c>
      <c r="J3847" s="87">
        <v>3.0039903329845981</v>
      </c>
      <c r="K3847" s="87">
        <v>8.3156811719201151</v>
      </c>
    </row>
    <row r="3848" spans="9:11" x14ac:dyDescent="0.25">
      <c r="I3848" s="86">
        <v>3847</v>
      </c>
      <c r="J3848" s="87">
        <v>1.4664090957028533</v>
      </c>
      <c r="K3848" s="87">
        <v>6.1825633611424786</v>
      </c>
    </row>
    <row r="3849" spans="9:11" x14ac:dyDescent="0.25">
      <c r="I3849" s="86">
        <v>3848</v>
      </c>
      <c r="J3849" s="87">
        <v>-1.1966770285866186</v>
      </c>
      <c r="K3849" s="87">
        <v>5.4800145387067074</v>
      </c>
    </row>
    <row r="3850" spans="9:11" x14ac:dyDescent="0.25">
      <c r="I3850" s="86">
        <v>3849</v>
      </c>
      <c r="J3850" s="87">
        <v>-0.11617421044491216</v>
      </c>
      <c r="K3850" s="87">
        <v>6.1916864288201037</v>
      </c>
    </row>
    <row r="3851" spans="9:11" x14ac:dyDescent="0.25">
      <c r="I3851" s="86">
        <v>3850</v>
      </c>
      <c r="J3851" s="87">
        <v>-1.7110081661133409</v>
      </c>
      <c r="K3851" s="87">
        <v>4.0243717803017516</v>
      </c>
    </row>
    <row r="3852" spans="9:11" x14ac:dyDescent="0.25">
      <c r="I3852" s="86">
        <v>3851</v>
      </c>
      <c r="J3852" s="87">
        <v>0.42452334229811406</v>
      </c>
      <c r="K3852" s="87">
        <v>6.2381904626350506</v>
      </c>
    </row>
    <row r="3853" spans="9:11" x14ac:dyDescent="0.25">
      <c r="I3853" s="86">
        <v>3852</v>
      </c>
      <c r="J3853" s="87">
        <v>0.10485124824477943</v>
      </c>
      <c r="K3853" s="87">
        <v>5.1546845902585909</v>
      </c>
    </row>
    <row r="3854" spans="9:11" x14ac:dyDescent="0.25">
      <c r="I3854" s="86">
        <v>3853</v>
      </c>
      <c r="J3854" s="87">
        <v>5.4776641949010756</v>
      </c>
      <c r="K3854" s="87">
        <v>9.2004421355523416</v>
      </c>
    </row>
    <row r="3855" spans="9:11" x14ac:dyDescent="0.25">
      <c r="I3855" s="86">
        <v>3854</v>
      </c>
      <c r="J3855" s="87">
        <v>1.3742310921778431</v>
      </c>
      <c r="K3855" s="87">
        <v>7.3851093201344717</v>
      </c>
    </row>
    <row r="3856" spans="9:11" x14ac:dyDescent="0.25">
      <c r="I3856" s="86">
        <v>3855</v>
      </c>
      <c r="J3856" s="87">
        <v>1.8647376203915647</v>
      </c>
      <c r="K3856" s="87">
        <v>6.8308098605217911</v>
      </c>
    </row>
    <row r="3857" spans="9:11" x14ac:dyDescent="0.25">
      <c r="I3857" s="86">
        <v>3856</v>
      </c>
      <c r="J3857" s="87">
        <v>2.5562551597079253</v>
      </c>
      <c r="K3857" s="87">
        <v>6.193371183828102</v>
      </c>
    </row>
    <row r="3858" spans="9:11" x14ac:dyDescent="0.25">
      <c r="I3858" s="86">
        <v>3857</v>
      </c>
      <c r="J3858" s="87">
        <v>-0.5207697838890093</v>
      </c>
      <c r="K3858" s="87">
        <v>5.1619442080950595</v>
      </c>
    </row>
    <row r="3859" spans="9:11" x14ac:dyDescent="0.25">
      <c r="I3859" s="86">
        <v>3858</v>
      </c>
      <c r="J3859" s="87">
        <v>1.773919697722846</v>
      </c>
      <c r="K3859" s="87">
        <v>6.6965504410055656</v>
      </c>
    </row>
    <row r="3860" spans="9:11" x14ac:dyDescent="0.25">
      <c r="I3860" s="86">
        <v>3859</v>
      </c>
      <c r="J3860" s="87">
        <v>-0.55029776175582601</v>
      </c>
      <c r="K3860" s="87">
        <v>5.3687138442170967</v>
      </c>
    </row>
    <row r="3861" spans="9:11" x14ac:dyDescent="0.25">
      <c r="I3861" s="86">
        <v>3860</v>
      </c>
      <c r="J3861" s="87">
        <v>-1.8119539664236122</v>
      </c>
      <c r="K3861" s="87">
        <v>5.2212827725749529</v>
      </c>
    </row>
    <row r="3862" spans="9:11" x14ac:dyDescent="0.25">
      <c r="I3862" s="86">
        <v>3861</v>
      </c>
      <c r="J3862" s="87">
        <v>0.34248384229080386</v>
      </c>
      <c r="K3862" s="87">
        <v>7.8048187372801054</v>
      </c>
    </row>
    <row r="3863" spans="9:11" x14ac:dyDescent="0.25">
      <c r="I3863" s="86">
        <v>3862</v>
      </c>
      <c r="J3863" s="87">
        <v>0.5644583059338375</v>
      </c>
      <c r="K3863" s="87">
        <v>6.6414842332525419</v>
      </c>
    </row>
    <row r="3864" spans="9:11" x14ac:dyDescent="0.25">
      <c r="I3864" s="86">
        <v>3863</v>
      </c>
      <c r="J3864" s="87">
        <v>3.0036700673140633</v>
      </c>
      <c r="K3864" s="87">
        <v>9.0742596970967782</v>
      </c>
    </row>
    <row r="3865" spans="9:11" x14ac:dyDescent="0.25">
      <c r="I3865" s="86">
        <v>3864</v>
      </c>
      <c r="J3865" s="87">
        <v>1.4411116429061206</v>
      </c>
      <c r="K3865" s="87">
        <v>6.2456203940067656</v>
      </c>
    </row>
    <row r="3866" spans="9:11" x14ac:dyDescent="0.25">
      <c r="I3866" s="86">
        <v>3865</v>
      </c>
      <c r="J3866" s="87">
        <v>0.98845823974649782</v>
      </c>
      <c r="K3866" s="87">
        <v>7.9819932795617587</v>
      </c>
    </row>
    <row r="3867" spans="9:11" x14ac:dyDescent="0.25">
      <c r="I3867" s="86">
        <v>3866</v>
      </c>
      <c r="J3867" s="87">
        <v>2.5167314418354536</v>
      </c>
      <c r="K3867" s="87">
        <v>6.1628626679438607</v>
      </c>
    </row>
    <row r="3868" spans="9:11" x14ac:dyDescent="0.25">
      <c r="I3868" s="86">
        <v>3867</v>
      </c>
      <c r="J3868" s="87">
        <v>1.3638989859567219</v>
      </c>
      <c r="K3868" s="87">
        <v>5.2058478001806225</v>
      </c>
    </row>
    <row r="3869" spans="9:11" x14ac:dyDescent="0.25">
      <c r="I3869" s="86">
        <v>3868</v>
      </c>
      <c r="J3869" s="87">
        <v>4.2829666363766918</v>
      </c>
      <c r="K3869" s="87">
        <v>8.6008742033270877</v>
      </c>
    </row>
    <row r="3870" spans="9:11" x14ac:dyDescent="0.25">
      <c r="I3870" s="86">
        <v>3869</v>
      </c>
      <c r="J3870" s="87">
        <v>0.59363630379084231</v>
      </c>
      <c r="K3870" s="87">
        <v>6.4436661282763072</v>
      </c>
    </row>
    <row r="3871" spans="9:11" x14ac:dyDescent="0.25">
      <c r="I3871" s="86">
        <v>3870</v>
      </c>
      <c r="J3871" s="87">
        <v>1.0822117124215502</v>
      </c>
      <c r="K3871" s="87">
        <v>6.1134562807419224</v>
      </c>
    </row>
    <row r="3872" spans="9:11" x14ac:dyDescent="0.25">
      <c r="I3872" s="86">
        <v>3871</v>
      </c>
      <c r="J3872" s="87">
        <v>1.4864470705623871</v>
      </c>
      <c r="K3872" s="87">
        <v>5.6839590601326755</v>
      </c>
    </row>
    <row r="3873" spans="9:11" x14ac:dyDescent="0.25">
      <c r="I3873" s="86">
        <v>3872</v>
      </c>
      <c r="J3873" s="87">
        <v>4.4493544518286647</v>
      </c>
      <c r="K3873" s="87">
        <v>7.1815382791785529</v>
      </c>
    </row>
    <row r="3874" spans="9:11" x14ac:dyDescent="0.25">
      <c r="I3874" s="86">
        <v>3873</v>
      </c>
      <c r="J3874" s="87">
        <v>2.3415138156539905</v>
      </c>
      <c r="K3874" s="87">
        <v>6.5961632481081747</v>
      </c>
    </row>
    <row r="3875" spans="9:11" x14ac:dyDescent="0.25">
      <c r="I3875" s="86">
        <v>3874</v>
      </c>
      <c r="J3875" s="87">
        <v>-1.2299681741497173</v>
      </c>
      <c r="K3875" s="87">
        <v>5.6785847438481509</v>
      </c>
    </row>
    <row r="3876" spans="9:11" x14ac:dyDescent="0.25">
      <c r="I3876" s="86">
        <v>3875</v>
      </c>
      <c r="J3876" s="87">
        <v>3.0307621292568685</v>
      </c>
      <c r="K3876" s="87">
        <v>7.821216803903515</v>
      </c>
    </row>
    <row r="3877" spans="9:11" x14ac:dyDescent="0.25">
      <c r="I3877" s="86">
        <v>3876</v>
      </c>
      <c r="J3877" s="87">
        <v>0.71748809114674916</v>
      </c>
      <c r="K3877" s="87">
        <v>6.4553611089613696</v>
      </c>
    </row>
    <row r="3878" spans="9:11" x14ac:dyDescent="0.25">
      <c r="I3878" s="86">
        <v>3877</v>
      </c>
      <c r="J3878" s="87">
        <v>-2.1668898551156759</v>
      </c>
      <c r="K3878" s="87">
        <v>4.7844260565052474</v>
      </c>
    </row>
    <row r="3879" spans="9:11" x14ac:dyDescent="0.25">
      <c r="I3879" s="86">
        <v>3878</v>
      </c>
      <c r="J3879" s="87">
        <v>0.15273497448373208</v>
      </c>
      <c r="K3879" s="87">
        <v>4.9438553995382586</v>
      </c>
    </row>
    <row r="3880" spans="9:11" x14ac:dyDescent="0.25">
      <c r="I3880" s="86">
        <v>3879</v>
      </c>
      <c r="J3880" s="87">
        <v>0.21091303149641583</v>
      </c>
      <c r="K3880" s="87">
        <v>5.5193710165893499</v>
      </c>
    </row>
    <row r="3881" spans="9:11" x14ac:dyDescent="0.25">
      <c r="I3881" s="86">
        <v>3880</v>
      </c>
      <c r="J3881" s="87">
        <v>0.88160928756846069</v>
      </c>
      <c r="K3881" s="87">
        <v>5.3868968632531455</v>
      </c>
    </row>
    <row r="3882" spans="9:11" x14ac:dyDescent="0.25">
      <c r="I3882" s="86">
        <v>3881</v>
      </c>
      <c r="J3882" s="87">
        <v>8.9139412721466655</v>
      </c>
      <c r="K3882" s="87">
        <v>9.7589029034025998</v>
      </c>
    </row>
    <row r="3883" spans="9:11" x14ac:dyDescent="0.25">
      <c r="I3883" s="86">
        <v>3882</v>
      </c>
      <c r="J3883" s="87">
        <v>1.3558664373039671</v>
      </c>
      <c r="K3883" s="87">
        <v>6.7552994719314237</v>
      </c>
    </row>
    <row r="3884" spans="9:11" x14ac:dyDescent="0.25">
      <c r="I3884" s="86">
        <v>3883</v>
      </c>
      <c r="J3884" s="87">
        <v>8.6875127353056598</v>
      </c>
      <c r="K3884" s="87">
        <v>8.5013143198770216</v>
      </c>
    </row>
    <row r="3885" spans="9:11" x14ac:dyDescent="0.25">
      <c r="I3885" s="86">
        <v>3884</v>
      </c>
      <c r="J3885" s="87">
        <v>2.8246388377226754</v>
      </c>
      <c r="K3885" s="87">
        <v>8.0687870551208771</v>
      </c>
    </row>
    <row r="3886" spans="9:11" x14ac:dyDescent="0.25">
      <c r="I3886" s="86">
        <v>3885</v>
      </c>
      <c r="J3886" s="87">
        <v>-1.1832029359484117</v>
      </c>
      <c r="K3886" s="87">
        <v>5.8728296986421489</v>
      </c>
    </row>
    <row r="3887" spans="9:11" x14ac:dyDescent="0.25">
      <c r="I3887" s="86">
        <v>3886</v>
      </c>
      <c r="J3887" s="87">
        <v>0.57437328171399749</v>
      </c>
      <c r="K3887" s="87">
        <v>4.480422872805419</v>
      </c>
    </row>
    <row r="3888" spans="9:11" x14ac:dyDescent="0.25">
      <c r="I3888" s="86">
        <v>3887</v>
      </c>
      <c r="J3888" s="87">
        <v>2.509795043957654</v>
      </c>
      <c r="K3888" s="87">
        <v>8.4819254730329181</v>
      </c>
    </row>
    <row r="3889" spans="9:11" x14ac:dyDescent="0.25">
      <c r="I3889" s="86">
        <v>3888</v>
      </c>
      <c r="J3889" s="87">
        <v>2.7308220385117421</v>
      </c>
      <c r="K3889" s="87">
        <v>9.5022813892640485</v>
      </c>
    </row>
    <row r="3890" spans="9:11" x14ac:dyDescent="0.25">
      <c r="I3890" s="86">
        <v>3889</v>
      </c>
      <c r="J3890" s="87">
        <v>3.1662908868633313</v>
      </c>
      <c r="K3890" s="87">
        <v>9.2726303627274405</v>
      </c>
    </row>
    <row r="3891" spans="9:11" x14ac:dyDescent="0.25">
      <c r="I3891" s="86">
        <v>3890</v>
      </c>
      <c r="J3891" s="87">
        <v>0.74404839208952067</v>
      </c>
      <c r="K3891" s="87">
        <v>5.2491714234455582</v>
      </c>
    </row>
    <row r="3892" spans="9:11" x14ac:dyDescent="0.25">
      <c r="I3892" s="86">
        <v>3891</v>
      </c>
      <c r="J3892" s="87">
        <v>2.0090889218130776</v>
      </c>
      <c r="K3892" s="87">
        <v>8.4538820413920739</v>
      </c>
    </row>
    <row r="3893" spans="9:11" x14ac:dyDescent="0.25">
      <c r="I3893" s="86">
        <v>3892</v>
      </c>
      <c r="J3893" s="87">
        <v>1.3676238333953235</v>
      </c>
      <c r="K3893" s="87">
        <v>6.6093346707446115</v>
      </c>
    </row>
    <row r="3894" spans="9:11" x14ac:dyDescent="0.25">
      <c r="I3894" s="86">
        <v>3893</v>
      </c>
      <c r="J3894" s="87">
        <v>1.6068075459930267</v>
      </c>
      <c r="K3894" s="87">
        <v>7.3890026511129152</v>
      </c>
    </row>
    <row r="3895" spans="9:11" x14ac:dyDescent="0.25">
      <c r="I3895" s="86">
        <v>3894</v>
      </c>
      <c r="J3895" s="87">
        <v>1.6575702440986522</v>
      </c>
      <c r="K3895" s="87">
        <v>6.7684628643643965</v>
      </c>
    </row>
    <row r="3896" spans="9:11" x14ac:dyDescent="0.25">
      <c r="I3896" s="86">
        <v>3895</v>
      </c>
      <c r="J3896" s="87">
        <v>-0.8557385455390758</v>
      </c>
      <c r="K3896" s="87">
        <v>6.0910146954624818</v>
      </c>
    </row>
    <row r="3897" spans="9:11" x14ac:dyDescent="0.25">
      <c r="I3897" s="86">
        <v>3896</v>
      </c>
      <c r="J3897" s="87">
        <v>0.88275108750029307</v>
      </c>
      <c r="K3897" s="87">
        <v>5.5366760991045441</v>
      </c>
    </row>
    <row r="3898" spans="9:11" x14ac:dyDescent="0.25">
      <c r="I3898" s="86">
        <v>3897</v>
      </c>
      <c r="J3898" s="87">
        <v>0.60649857526368578</v>
      </c>
      <c r="K3898" s="87">
        <v>6.759534672440112</v>
      </c>
    </row>
    <row r="3899" spans="9:11" x14ac:dyDescent="0.25">
      <c r="I3899" s="86">
        <v>3898</v>
      </c>
      <c r="J3899" s="87">
        <v>2.5621359801835037</v>
      </c>
      <c r="K3899" s="87">
        <v>10.500247519289761</v>
      </c>
    </row>
    <row r="3900" spans="9:11" x14ac:dyDescent="0.25">
      <c r="I3900" s="86">
        <v>3899</v>
      </c>
      <c r="J3900" s="87">
        <v>1.2965025280360303</v>
      </c>
      <c r="K3900" s="87">
        <v>6.5996303697041032</v>
      </c>
    </row>
    <row r="3901" spans="9:11" x14ac:dyDescent="0.25">
      <c r="I3901" s="86">
        <v>3900</v>
      </c>
      <c r="J3901" s="87">
        <v>0.35636815167515401</v>
      </c>
      <c r="K3901" s="87">
        <v>7.2349178107771692</v>
      </c>
    </row>
    <row r="3902" spans="9:11" x14ac:dyDescent="0.25">
      <c r="I3902" s="86">
        <v>3901</v>
      </c>
      <c r="J3902" s="87">
        <v>0.28585218265953305</v>
      </c>
      <c r="K3902" s="87">
        <v>6.0426811272751602</v>
      </c>
    </row>
    <row r="3903" spans="9:11" x14ac:dyDescent="0.25">
      <c r="I3903" s="86">
        <v>3902</v>
      </c>
      <c r="J3903" s="87">
        <v>-0.14054334750223596</v>
      </c>
      <c r="K3903" s="87">
        <v>6.2579311954067611</v>
      </c>
    </row>
    <row r="3904" spans="9:11" x14ac:dyDescent="0.25">
      <c r="I3904" s="86">
        <v>3903</v>
      </c>
      <c r="J3904" s="87">
        <v>1.8640370645108293</v>
      </c>
      <c r="K3904" s="87">
        <v>5.5848185342888552</v>
      </c>
    </row>
    <row r="3905" spans="9:11" x14ac:dyDescent="0.25">
      <c r="I3905" s="86">
        <v>3904</v>
      </c>
      <c r="J3905" s="87">
        <v>0.73619657413374018</v>
      </c>
      <c r="K3905" s="87">
        <v>7.2060162815891813</v>
      </c>
    </row>
    <row r="3906" spans="9:11" x14ac:dyDescent="0.25">
      <c r="I3906" s="86">
        <v>3905</v>
      </c>
      <c r="J3906" s="87">
        <v>0.72350236096963361</v>
      </c>
      <c r="K3906" s="87">
        <v>6.14701145561662</v>
      </c>
    </row>
    <row r="3907" spans="9:11" x14ac:dyDescent="0.25">
      <c r="I3907" s="86">
        <v>3906</v>
      </c>
      <c r="J3907" s="87">
        <v>0.89871821955674136</v>
      </c>
      <c r="K3907" s="87">
        <v>6.5714564139702096</v>
      </c>
    </row>
    <row r="3908" spans="9:11" x14ac:dyDescent="0.25">
      <c r="I3908" s="86">
        <v>3907</v>
      </c>
      <c r="J3908" s="87">
        <v>1.2891065737705896</v>
      </c>
      <c r="K3908" s="87">
        <v>6.6571588325298565</v>
      </c>
    </row>
    <row r="3909" spans="9:11" x14ac:dyDescent="0.25">
      <c r="I3909" s="86">
        <v>3908</v>
      </c>
      <c r="J3909" s="87">
        <v>1.5891162903597094</v>
      </c>
      <c r="K3909" s="87">
        <v>7.2176318585567216</v>
      </c>
    </row>
    <row r="3910" spans="9:11" x14ac:dyDescent="0.25">
      <c r="I3910" s="86">
        <v>3909</v>
      </c>
      <c r="J3910" s="87">
        <v>0.79740370658392257</v>
      </c>
      <c r="K3910" s="87">
        <v>5.389030997483367</v>
      </c>
    </row>
    <row r="3911" spans="9:11" x14ac:dyDescent="0.25">
      <c r="I3911" s="86">
        <v>3910</v>
      </c>
      <c r="J3911" s="87">
        <v>2.9445573826147955</v>
      </c>
      <c r="K3911" s="87">
        <v>7.4198991927067777</v>
      </c>
    </row>
    <row r="3912" spans="9:11" x14ac:dyDescent="0.25">
      <c r="I3912" s="86">
        <v>3911</v>
      </c>
      <c r="J3912" s="87">
        <v>0.73984100455404889</v>
      </c>
      <c r="K3912" s="87">
        <v>6.9273278965723595</v>
      </c>
    </row>
    <row r="3913" spans="9:11" x14ac:dyDescent="0.25">
      <c r="I3913" s="86">
        <v>3912</v>
      </c>
      <c r="J3913" s="87">
        <v>0.29569673421482801</v>
      </c>
      <c r="K3913" s="87">
        <v>7.4320640172572769</v>
      </c>
    </row>
    <row r="3914" spans="9:11" x14ac:dyDescent="0.25">
      <c r="I3914" s="86">
        <v>3913</v>
      </c>
      <c r="J3914" s="87">
        <v>3.0309010085892121</v>
      </c>
      <c r="K3914" s="87">
        <v>8.6041156660526941</v>
      </c>
    </row>
    <row r="3915" spans="9:11" x14ac:dyDescent="0.25">
      <c r="I3915" s="86">
        <v>3914</v>
      </c>
      <c r="J3915" s="87">
        <v>3.3782623356754193E-2</v>
      </c>
      <c r="K3915" s="87">
        <v>4.9822749565745124</v>
      </c>
    </row>
    <row r="3916" spans="9:11" x14ac:dyDescent="0.25">
      <c r="I3916" s="86">
        <v>3915</v>
      </c>
      <c r="J3916" s="87">
        <v>1.6580015235810528</v>
      </c>
      <c r="K3916" s="87">
        <v>4.9948461900172685</v>
      </c>
    </row>
    <row r="3917" spans="9:11" x14ac:dyDescent="0.25">
      <c r="I3917" s="86">
        <v>3916</v>
      </c>
      <c r="J3917" s="87">
        <v>1.526929449513803</v>
      </c>
      <c r="K3917" s="87">
        <v>7.4535851983252499</v>
      </c>
    </row>
    <row r="3918" spans="9:11" x14ac:dyDescent="0.25">
      <c r="I3918" s="86">
        <v>3917</v>
      </c>
      <c r="J3918" s="87">
        <v>0.87630447921396337</v>
      </c>
      <c r="K3918" s="87">
        <v>5.8778769937914692</v>
      </c>
    </row>
    <row r="3919" spans="9:11" x14ac:dyDescent="0.25">
      <c r="I3919" s="86">
        <v>3918</v>
      </c>
      <c r="J3919" s="87">
        <v>3.0657641473331632</v>
      </c>
      <c r="K3919" s="87">
        <v>6.6356858144162025</v>
      </c>
    </row>
    <row r="3920" spans="9:11" x14ac:dyDescent="0.25">
      <c r="I3920" s="86">
        <v>3919</v>
      </c>
      <c r="J3920" s="87">
        <v>4.7855497898697976</v>
      </c>
      <c r="K3920" s="87">
        <v>9.904348531315339</v>
      </c>
    </row>
    <row r="3921" spans="9:11" x14ac:dyDescent="0.25">
      <c r="I3921" s="86">
        <v>3920</v>
      </c>
      <c r="J3921" s="87">
        <v>1.7897058915496782</v>
      </c>
      <c r="K3921" s="87">
        <v>8.2278461229052215</v>
      </c>
    </row>
    <row r="3922" spans="9:11" x14ac:dyDescent="0.25">
      <c r="I3922" s="86">
        <v>3921</v>
      </c>
      <c r="J3922" s="87">
        <v>0.5961198272012922</v>
      </c>
      <c r="K3922" s="87">
        <v>8.559018439504344</v>
      </c>
    </row>
    <row r="3923" spans="9:11" x14ac:dyDescent="0.25">
      <c r="I3923" s="86">
        <v>3922</v>
      </c>
      <c r="J3923" s="87">
        <v>3.7646694341821885E-2</v>
      </c>
      <c r="K3923" s="87">
        <v>6.0345076696178568</v>
      </c>
    </row>
    <row r="3924" spans="9:11" x14ac:dyDescent="0.25">
      <c r="I3924" s="86">
        <v>3923</v>
      </c>
      <c r="J3924" s="87">
        <v>-0.89223172364768732</v>
      </c>
      <c r="K3924" s="87">
        <v>5.4051851627442487</v>
      </c>
    </row>
    <row r="3925" spans="9:11" x14ac:dyDescent="0.25">
      <c r="I3925" s="86">
        <v>3924</v>
      </c>
      <c r="J3925" s="87">
        <v>-0.65330037439295374</v>
      </c>
      <c r="K3925" s="87">
        <v>6.8449561168672259</v>
      </c>
    </row>
    <row r="3926" spans="9:11" x14ac:dyDescent="0.25">
      <c r="I3926" s="86">
        <v>3925</v>
      </c>
      <c r="J3926" s="87">
        <v>4.5078778798682979</v>
      </c>
      <c r="K3926" s="87">
        <v>9.6058549916731959</v>
      </c>
    </row>
    <row r="3927" spans="9:11" x14ac:dyDescent="0.25">
      <c r="I3927" s="86">
        <v>3926</v>
      </c>
      <c r="J3927" s="87">
        <v>0.86853080231406787</v>
      </c>
      <c r="K3927" s="87">
        <v>5.7084618981485606</v>
      </c>
    </row>
    <row r="3928" spans="9:11" x14ac:dyDescent="0.25">
      <c r="I3928" s="86">
        <v>3927</v>
      </c>
      <c r="J3928" s="87">
        <v>-0.60381359815893365</v>
      </c>
      <c r="K3928" s="87">
        <v>4.9875084557569327</v>
      </c>
    </row>
    <row r="3929" spans="9:11" x14ac:dyDescent="0.25">
      <c r="I3929" s="86">
        <v>3928</v>
      </c>
      <c r="J3929" s="87">
        <v>-7.3911892653463873E-2</v>
      </c>
      <c r="K3929" s="87">
        <v>6.1259982846260908</v>
      </c>
    </row>
    <row r="3930" spans="9:11" x14ac:dyDescent="0.25">
      <c r="I3930" s="86">
        <v>3929</v>
      </c>
      <c r="J3930" s="87">
        <v>2.1664754623070657</v>
      </c>
      <c r="K3930" s="87">
        <v>7.9692492626662874</v>
      </c>
    </row>
    <row r="3931" spans="9:11" x14ac:dyDescent="0.25">
      <c r="I3931" s="86">
        <v>3930</v>
      </c>
      <c r="J3931" s="87">
        <v>-0.2034530054721051</v>
      </c>
      <c r="K3931" s="87">
        <v>6.611041140171932</v>
      </c>
    </row>
    <row r="3932" spans="9:11" x14ac:dyDescent="0.25">
      <c r="I3932" s="86">
        <v>3931</v>
      </c>
      <c r="J3932" s="87">
        <v>7.6473779708572582</v>
      </c>
      <c r="K3932" s="87">
        <v>8.9734557057276394</v>
      </c>
    </row>
    <row r="3933" spans="9:11" x14ac:dyDescent="0.25">
      <c r="I3933" s="86">
        <v>3932</v>
      </c>
      <c r="J3933" s="87">
        <v>1.9775016505989926</v>
      </c>
      <c r="K3933" s="87">
        <v>6.061020904006627</v>
      </c>
    </row>
    <row r="3934" spans="9:11" x14ac:dyDescent="0.25">
      <c r="I3934" s="86">
        <v>3933</v>
      </c>
      <c r="J3934" s="87">
        <v>4.1751035380464785</v>
      </c>
      <c r="K3934" s="87">
        <v>8.5389496784045154</v>
      </c>
    </row>
    <row r="3935" spans="9:11" x14ac:dyDescent="0.25">
      <c r="I3935" s="86">
        <v>3934</v>
      </c>
      <c r="J3935" s="87">
        <v>1.4030025168654623</v>
      </c>
      <c r="K3935" s="87">
        <v>5.7741134479535736</v>
      </c>
    </row>
    <row r="3936" spans="9:11" x14ac:dyDescent="0.25">
      <c r="I3936" s="86">
        <v>3935</v>
      </c>
      <c r="J3936" s="87">
        <v>-0.51290849804276117</v>
      </c>
      <c r="K3936" s="87">
        <v>5.4217864745350974</v>
      </c>
    </row>
    <row r="3937" spans="9:11" x14ac:dyDescent="0.25">
      <c r="I3937" s="86">
        <v>3936</v>
      </c>
      <c r="J3937" s="87">
        <v>-0.15927325279116289</v>
      </c>
      <c r="K3937" s="87">
        <v>6.8012709516240557</v>
      </c>
    </row>
    <row r="3938" spans="9:11" x14ac:dyDescent="0.25">
      <c r="I3938" s="86">
        <v>3937</v>
      </c>
      <c r="J3938" s="87">
        <v>-1.0640111717968814</v>
      </c>
      <c r="K3938" s="87">
        <v>5.7307526420456361</v>
      </c>
    </row>
    <row r="3939" spans="9:11" x14ac:dyDescent="0.25">
      <c r="I3939" s="86">
        <v>3938</v>
      </c>
      <c r="J3939" s="87">
        <v>0.29668632961158181</v>
      </c>
      <c r="K3939" s="87">
        <v>4.6009452881537625</v>
      </c>
    </row>
    <row r="3940" spans="9:11" x14ac:dyDescent="0.25">
      <c r="I3940" s="86">
        <v>3939</v>
      </c>
      <c r="J3940" s="87">
        <v>3.0845455272622644</v>
      </c>
      <c r="K3940" s="87">
        <v>8.4293661500229327</v>
      </c>
    </row>
    <row r="3941" spans="9:11" x14ac:dyDescent="0.25">
      <c r="I3941" s="86">
        <v>3940</v>
      </c>
      <c r="J3941" s="87">
        <v>0.70460081543752207</v>
      </c>
      <c r="K3941" s="87">
        <v>7.0846748894208487</v>
      </c>
    </row>
    <row r="3942" spans="9:11" x14ac:dyDescent="0.25">
      <c r="I3942" s="86">
        <v>3941</v>
      </c>
      <c r="J3942" s="87">
        <v>1.3207270673900364</v>
      </c>
      <c r="K3942" s="87">
        <v>8.017437290346912</v>
      </c>
    </row>
    <row r="3943" spans="9:11" x14ac:dyDescent="0.25">
      <c r="I3943" s="86">
        <v>3942</v>
      </c>
      <c r="J3943" s="87">
        <v>4.5773311080248389</v>
      </c>
      <c r="K3943" s="87">
        <v>9.5505699153691541</v>
      </c>
    </row>
    <row r="3944" spans="9:11" x14ac:dyDescent="0.25">
      <c r="I3944" s="86">
        <v>3943</v>
      </c>
      <c r="J3944" s="87">
        <v>2.4713030556848867</v>
      </c>
      <c r="K3944" s="87">
        <v>6.3293805740192308</v>
      </c>
    </row>
    <row r="3945" spans="9:11" x14ac:dyDescent="0.25">
      <c r="I3945" s="86">
        <v>3944</v>
      </c>
      <c r="J3945" s="87">
        <v>0.72235137446242081</v>
      </c>
      <c r="K3945" s="87">
        <v>7.9567502054682198</v>
      </c>
    </row>
    <row r="3946" spans="9:11" x14ac:dyDescent="0.25">
      <c r="I3946" s="86">
        <v>3945</v>
      </c>
      <c r="J3946" s="87">
        <v>1.171891030963883</v>
      </c>
      <c r="K3946" s="87">
        <v>6.1082199303064932</v>
      </c>
    </row>
    <row r="3947" spans="9:11" x14ac:dyDescent="0.25">
      <c r="I3947" s="86">
        <v>3946</v>
      </c>
      <c r="J3947" s="87">
        <v>1.8839256427147903</v>
      </c>
      <c r="K3947" s="87">
        <v>7.4952479208785023</v>
      </c>
    </row>
    <row r="3948" spans="9:11" x14ac:dyDescent="0.25">
      <c r="I3948" s="86">
        <v>3947</v>
      </c>
      <c r="J3948" s="87">
        <v>1.0596928205783849</v>
      </c>
      <c r="K3948" s="87">
        <v>7.2109129898076469</v>
      </c>
    </row>
    <row r="3949" spans="9:11" x14ac:dyDescent="0.25">
      <c r="I3949" s="86">
        <v>3948</v>
      </c>
      <c r="J3949" s="87">
        <v>3.7093952144699127</v>
      </c>
      <c r="K3949" s="87">
        <v>8.7819714536933962</v>
      </c>
    </row>
    <row r="3950" spans="9:11" x14ac:dyDescent="0.25">
      <c r="I3950" s="86">
        <v>3949</v>
      </c>
      <c r="J3950" s="87">
        <v>0.29812972627702106</v>
      </c>
      <c r="K3950" s="87">
        <v>8.7386389012405878</v>
      </c>
    </row>
    <row r="3951" spans="9:11" x14ac:dyDescent="0.25">
      <c r="I3951" s="86">
        <v>3950</v>
      </c>
      <c r="J3951" s="87">
        <v>1.9545200099456292</v>
      </c>
      <c r="K3951" s="87">
        <v>5.5985281239859201</v>
      </c>
    </row>
    <row r="3952" spans="9:11" x14ac:dyDescent="0.25">
      <c r="I3952" s="86">
        <v>3951</v>
      </c>
      <c r="J3952" s="87">
        <v>0.62558040490047429</v>
      </c>
      <c r="K3952" s="87">
        <v>6.9254010792571368</v>
      </c>
    </row>
    <row r="3953" spans="9:11" x14ac:dyDescent="0.25">
      <c r="I3953" s="86">
        <v>3952</v>
      </c>
      <c r="J3953" s="87">
        <v>3.2367851174087621</v>
      </c>
      <c r="K3953" s="87">
        <v>6.5016404284500391</v>
      </c>
    </row>
    <row r="3954" spans="9:11" x14ac:dyDescent="0.25">
      <c r="I3954" s="86">
        <v>3953</v>
      </c>
      <c r="J3954" s="87">
        <v>2.0836071134626213</v>
      </c>
      <c r="K3954" s="87">
        <v>7.6522948071409962</v>
      </c>
    </row>
    <row r="3955" spans="9:11" x14ac:dyDescent="0.25">
      <c r="I3955" s="86">
        <v>3954</v>
      </c>
      <c r="J3955" s="87">
        <v>2.4009417714852663</v>
      </c>
      <c r="K3955" s="87">
        <v>8.1800098742019518</v>
      </c>
    </row>
    <row r="3956" spans="9:11" x14ac:dyDescent="0.25">
      <c r="I3956" s="86">
        <v>3955</v>
      </c>
      <c r="J3956" s="87">
        <v>1.5614006734425772</v>
      </c>
      <c r="K3956" s="87">
        <v>6.4085690878585027</v>
      </c>
    </row>
    <row r="3957" spans="9:11" x14ac:dyDescent="0.25">
      <c r="I3957" s="86">
        <v>3956</v>
      </c>
      <c r="J3957" s="87">
        <v>0.77908066190647052</v>
      </c>
      <c r="K3957" s="87">
        <v>6.6348002762609024</v>
      </c>
    </row>
    <row r="3958" spans="9:11" x14ac:dyDescent="0.25">
      <c r="I3958" s="86">
        <v>3957</v>
      </c>
      <c r="J3958" s="87">
        <v>-0.72309994737038252</v>
      </c>
      <c r="K3958" s="87">
        <v>5.8694345020770555</v>
      </c>
    </row>
    <row r="3959" spans="9:11" x14ac:dyDescent="0.25">
      <c r="I3959" s="86">
        <v>3958</v>
      </c>
      <c r="J3959" s="87">
        <v>-0.26608102953365265</v>
      </c>
      <c r="K3959" s="87">
        <v>5.9526839901117192</v>
      </c>
    </row>
    <row r="3960" spans="9:11" x14ac:dyDescent="0.25">
      <c r="I3960" s="86">
        <v>3959</v>
      </c>
      <c r="J3960" s="87">
        <v>2.2283516450247145</v>
      </c>
      <c r="K3960" s="87">
        <v>7.2158854505539036</v>
      </c>
    </row>
    <row r="3961" spans="9:11" x14ac:dyDescent="0.25">
      <c r="I3961" s="86">
        <v>3960</v>
      </c>
      <c r="J3961" s="87">
        <v>1.4293771123504166</v>
      </c>
      <c r="K3961" s="87">
        <v>6.4726333944544567</v>
      </c>
    </row>
    <row r="3962" spans="9:11" x14ac:dyDescent="0.25">
      <c r="I3962" s="86">
        <v>3961</v>
      </c>
      <c r="J3962" s="87">
        <v>-0.19950814915867188</v>
      </c>
      <c r="K3962" s="87">
        <v>4.5951084713515202</v>
      </c>
    </row>
    <row r="3963" spans="9:11" x14ac:dyDescent="0.25">
      <c r="I3963" s="86">
        <v>3962</v>
      </c>
      <c r="J3963" s="87">
        <v>0.50485058131896121</v>
      </c>
      <c r="K3963" s="87">
        <v>6.1179219751970866</v>
      </c>
    </row>
    <row r="3964" spans="9:11" x14ac:dyDescent="0.25">
      <c r="I3964" s="86">
        <v>3963</v>
      </c>
      <c r="J3964" s="87">
        <v>1.4859609984931983</v>
      </c>
      <c r="K3964" s="87">
        <v>5.0117563111739667</v>
      </c>
    </row>
    <row r="3965" spans="9:11" x14ac:dyDescent="0.25">
      <c r="I3965" s="86">
        <v>3964</v>
      </c>
      <c r="J3965" s="87">
        <v>1.3225129227707555</v>
      </c>
      <c r="K3965" s="87">
        <v>6.1494189404591797</v>
      </c>
    </row>
    <row r="3966" spans="9:11" x14ac:dyDescent="0.25">
      <c r="I3966" s="86">
        <v>3965</v>
      </c>
      <c r="J3966" s="87">
        <v>1.3161617398668755</v>
      </c>
      <c r="K3966" s="87">
        <v>7.3036733136786003</v>
      </c>
    </row>
    <row r="3967" spans="9:11" x14ac:dyDescent="0.25">
      <c r="I3967" s="86">
        <v>3966</v>
      </c>
      <c r="J3967" s="87">
        <v>0.16620617412057381</v>
      </c>
      <c r="K3967" s="87">
        <v>6.9048070406224786</v>
      </c>
    </row>
    <row r="3968" spans="9:11" x14ac:dyDescent="0.25">
      <c r="I3968" s="86">
        <v>3967</v>
      </c>
      <c r="J3968" s="87">
        <v>1.6997051428846595</v>
      </c>
      <c r="K3968" s="87">
        <v>6.1953656267180017</v>
      </c>
    </row>
    <row r="3969" spans="9:11" x14ac:dyDescent="0.25">
      <c r="I3969" s="86">
        <v>3968</v>
      </c>
      <c r="J3969" s="87">
        <v>1.4312931291496991</v>
      </c>
      <c r="K3969" s="87">
        <v>6.9367666216232102</v>
      </c>
    </row>
    <row r="3970" spans="9:11" x14ac:dyDescent="0.25">
      <c r="I3970" s="86">
        <v>3969</v>
      </c>
      <c r="J3970" s="87">
        <v>1.2351708708043203</v>
      </c>
      <c r="K3970" s="87">
        <v>7.49486541559755</v>
      </c>
    </row>
    <row r="3971" spans="9:11" x14ac:dyDescent="0.25">
      <c r="I3971" s="86">
        <v>3970</v>
      </c>
      <c r="J3971" s="87">
        <v>-0.22957301689453313</v>
      </c>
      <c r="K3971" s="87">
        <v>5.6977269217677557</v>
      </c>
    </row>
    <row r="3972" spans="9:11" x14ac:dyDescent="0.25">
      <c r="I3972" s="86">
        <v>3971</v>
      </c>
      <c r="J3972" s="87">
        <v>1.9643711621087396</v>
      </c>
      <c r="K3972" s="87">
        <v>7.5202903371255214</v>
      </c>
    </row>
    <row r="3973" spans="9:11" x14ac:dyDescent="0.25">
      <c r="I3973" s="86">
        <v>3972</v>
      </c>
      <c r="J3973" s="87">
        <v>-5.2253382874508425E-2</v>
      </c>
      <c r="K3973" s="87">
        <v>5.6726887160125345</v>
      </c>
    </row>
    <row r="3974" spans="9:11" x14ac:dyDescent="0.25">
      <c r="I3974" s="86">
        <v>3973</v>
      </c>
      <c r="J3974" s="87">
        <v>1.4281283995874725</v>
      </c>
      <c r="K3974" s="87">
        <v>7.5295982035037632</v>
      </c>
    </row>
    <row r="3975" spans="9:11" x14ac:dyDescent="0.25">
      <c r="I3975" s="86">
        <v>3974</v>
      </c>
      <c r="J3975" s="87">
        <v>3.3756421158082004</v>
      </c>
      <c r="K3975" s="87">
        <v>9.7208502440482345</v>
      </c>
    </row>
    <row r="3976" spans="9:11" x14ac:dyDescent="0.25">
      <c r="I3976" s="86">
        <v>3975</v>
      </c>
      <c r="J3976" s="87">
        <v>0.27870050730943774</v>
      </c>
      <c r="K3976" s="87">
        <v>7.4514500316713095</v>
      </c>
    </row>
    <row r="3977" spans="9:11" x14ac:dyDescent="0.25">
      <c r="I3977" s="86">
        <v>3976</v>
      </c>
      <c r="J3977" s="87">
        <v>5.652317236423956</v>
      </c>
      <c r="K3977" s="87">
        <v>11.579976767556978</v>
      </c>
    </row>
    <row r="3978" spans="9:11" x14ac:dyDescent="0.25">
      <c r="I3978" s="86">
        <v>3977</v>
      </c>
      <c r="J3978" s="87">
        <v>0.92284214210181581</v>
      </c>
      <c r="K3978" s="87">
        <v>5.5984946426159707</v>
      </c>
    </row>
    <row r="3979" spans="9:11" x14ac:dyDescent="0.25">
      <c r="I3979" s="86">
        <v>3978</v>
      </c>
      <c r="J3979" s="87">
        <v>5.9454501950188643E-2</v>
      </c>
      <c r="K3979" s="87">
        <v>5.6551270269001703</v>
      </c>
    </row>
    <row r="3980" spans="9:11" x14ac:dyDescent="0.25">
      <c r="I3980" s="86">
        <v>3979</v>
      </c>
      <c r="J3980" s="87">
        <v>1.6408390771486969</v>
      </c>
      <c r="K3980" s="87">
        <v>5.0849517305470595</v>
      </c>
    </row>
    <row r="3981" spans="9:11" x14ac:dyDescent="0.25">
      <c r="I3981" s="86">
        <v>3980</v>
      </c>
      <c r="J3981" s="87">
        <v>1.184534147527915</v>
      </c>
      <c r="K3981" s="87">
        <v>4.4083219674893339</v>
      </c>
    </row>
    <row r="3982" spans="9:11" x14ac:dyDescent="0.25">
      <c r="I3982" s="86">
        <v>3981</v>
      </c>
      <c r="J3982" s="87">
        <v>1.0817523251168746</v>
      </c>
      <c r="K3982" s="87">
        <v>5.6112065418209456</v>
      </c>
    </row>
    <row r="3983" spans="9:11" x14ac:dyDescent="0.25">
      <c r="I3983" s="86">
        <v>3982</v>
      </c>
      <c r="J3983" s="87">
        <v>2.2819257496786003</v>
      </c>
      <c r="K3983" s="87">
        <v>9.1364080845091067</v>
      </c>
    </row>
    <row r="3984" spans="9:11" x14ac:dyDescent="0.25">
      <c r="I3984" s="86">
        <v>3983</v>
      </c>
      <c r="J3984" s="87">
        <v>2.694162812430382</v>
      </c>
      <c r="K3984" s="87">
        <v>6.7307699244267409</v>
      </c>
    </row>
    <row r="3985" spans="9:11" x14ac:dyDescent="0.25">
      <c r="I3985" s="86">
        <v>3984</v>
      </c>
      <c r="J3985" s="87">
        <v>0.75365416003660446</v>
      </c>
      <c r="K3985" s="87">
        <v>6.1833392933439919</v>
      </c>
    </row>
    <row r="3986" spans="9:11" x14ac:dyDescent="0.25">
      <c r="I3986" s="86">
        <v>3985</v>
      </c>
      <c r="J3986" s="87">
        <v>2.3012249968132883</v>
      </c>
      <c r="K3986" s="87">
        <v>6.2348308318529417</v>
      </c>
    </row>
    <row r="3987" spans="9:11" x14ac:dyDescent="0.25">
      <c r="I3987" s="86">
        <v>3986</v>
      </c>
      <c r="J3987" s="87">
        <v>2.699472331299396</v>
      </c>
      <c r="K3987" s="87">
        <v>5.8958410219041326</v>
      </c>
    </row>
    <row r="3988" spans="9:11" x14ac:dyDescent="0.25">
      <c r="I3988" s="86">
        <v>3987</v>
      </c>
      <c r="J3988" s="87">
        <v>-0.37630615276628099</v>
      </c>
      <c r="K3988" s="87">
        <v>5.7244959368922945</v>
      </c>
    </row>
    <row r="3989" spans="9:11" x14ac:dyDescent="0.25">
      <c r="I3989" s="86">
        <v>3988</v>
      </c>
      <c r="J3989" s="87">
        <v>1.6756857386470045</v>
      </c>
      <c r="K3989" s="87">
        <v>6.230766376943528</v>
      </c>
    </row>
    <row r="3990" spans="9:11" x14ac:dyDescent="0.25">
      <c r="I3990" s="86">
        <v>3989</v>
      </c>
      <c r="J3990" s="87">
        <v>-1.1781142046563886</v>
      </c>
      <c r="K3990" s="87">
        <v>5.1483536770085943</v>
      </c>
    </row>
    <row r="3991" spans="9:11" x14ac:dyDescent="0.25">
      <c r="I3991" s="86">
        <v>3990</v>
      </c>
      <c r="J3991" s="87">
        <v>1.4510706424183502</v>
      </c>
      <c r="K3991" s="87">
        <v>8.6644743256736412</v>
      </c>
    </row>
    <row r="3992" spans="9:11" x14ac:dyDescent="0.25">
      <c r="I3992" s="86">
        <v>3991</v>
      </c>
      <c r="J3992" s="87">
        <v>3.8675015439534004</v>
      </c>
      <c r="K3992" s="87">
        <v>10.028825152501948</v>
      </c>
    </row>
    <row r="3993" spans="9:11" x14ac:dyDescent="0.25">
      <c r="I3993" s="86">
        <v>3992</v>
      </c>
      <c r="J3993" s="87">
        <v>5.0838036122854522</v>
      </c>
      <c r="K3993" s="87">
        <v>6.4190846242230464</v>
      </c>
    </row>
    <row r="3994" spans="9:11" x14ac:dyDescent="0.25">
      <c r="I3994" s="86">
        <v>3993</v>
      </c>
      <c r="J3994" s="87">
        <v>6.0599895411924418</v>
      </c>
      <c r="K3994" s="87">
        <v>9.2763262188576743</v>
      </c>
    </row>
    <row r="3995" spans="9:11" x14ac:dyDescent="0.25">
      <c r="I3995" s="86">
        <v>3994</v>
      </c>
      <c r="J3995" s="87">
        <v>-1.9756576393154579</v>
      </c>
      <c r="K3995" s="87">
        <v>4.7043461172822045</v>
      </c>
    </row>
    <row r="3996" spans="9:11" x14ac:dyDescent="0.25">
      <c r="I3996" s="86">
        <v>3995</v>
      </c>
      <c r="J3996" s="87">
        <v>3.3628955391460478</v>
      </c>
      <c r="K3996" s="87">
        <v>7.3126831364808327</v>
      </c>
    </row>
    <row r="3997" spans="9:11" x14ac:dyDescent="0.25">
      <c r="I3997" s="86">
        <v>3996</v>
      </c>
      <c r="J3997" s="87">
        <v>1.7925690749152858</v>
      </c>
      <c r="K3997" s="87">
        <v>6.4196610425470464</v>
      </c>
    </row>
    <row r="3998" spans="9:11" x14ac:dyDescent="0.25">
      <c r="I3998" s="86">
        <v>3997</v>
      </c>
      <c r="J3998" s="87">
        <v>1.5227270341043786</v>
      </c>
      <c r="K3998" s="87">
        <v>6.3814775464768303</v>
      </c>
    </row>
    <row r="3999" spans="9:11" x14ac:dyDescent="0.25">
      <c r="I3999" s="86">
        <v>3998</v>
      </c>
      <c r="J3999" s="87">
        <v>1.1704968406525644</v>
      </c>
      <c r="K3999" s="87">
        <v>8.2130392848583718</v>
      </c>
    </row>
    <row r="4000" spans="9:11" x14ac:dyDescent="0.25">
      <c r="I4000" s="86">
        <v>3999</v>
      </c>
      <c r="J4000" s="87">
        <v>2.1971462369991954</v>
      </c>
      <c r="K4000" s="87">
        <v>6.3928796447362028</v>
      </c>
    </row>
    <row r="4001" spans="9:11" x14ac:dyDescent="0.25">
      <c r="I4001" s="86">
        <v>4000</v>
      </c>
      <c r="J4001" s="87">
        <v>2.6779088967566382</v>
      </c>
      <c r="K4001" s="87">
        <v>7.2608931380349819</v>
      </c>
    </row>
    <row r="4002" spans="9:11" x14ac:dyDescent="0.25">
      <c r="I4002" s="86">
        <v>4001</v>
      </c>
      <c r="J4002" s="87">
        <v>1.4936210888576147</v>
      </c>
      <c r="K4002" s="87">
        <v>6.7044849719199817</v>
      </c>
    </row>
    <row r="4003" spans="9:11" x14ac:dyDescent="0.25">
      <c r="I4003" s="86">
        <v>4002</v>
      </c>
      <c r="J4003" s="87">
        <v>2.2971367171464108</v>
      </c>
      <c r="K4003" s="87">
        <v>8.0506077454150518</v>
      </c>
    </row>
    <row r="4004" spans="9:11" x14ac:dyDescent="0.25">
      <c r="I4004" s="86">
        <v>4003</v>
      </c>
      <c r="J4004" s="87">
        <v>0.79130586636623734</v>
      </c>
      <c r="K4004" s="87">
        <v>5.2512640724732149</v>
      </c>
    </row>
    <row r="4005" spans="9:11" x14ac:dyDescent="0.25">
      <c r="I4005" s="86">
        <v>4004</v>
      </c>
      <c r="J4005" s="87">
        <v>2.5308154185238925</v>
      </c>
      <c r="K4005" s="87">
        <v>8.8747700664060467</v>
      </c>
    </row>
    <row r="4006" spans="9:11" x14ac:dyDescent="0.25">
      <c r="I4006" s="86">
        <v>4005</v>
      </c>
      <c r="J4006" s="87">
        <v>0.54117827647802397</v>
      </c>
      <c r="K4006" s="87">
        <v>6.6982901833322739</v>
      </c>
    </row>
    <row r="4007" spans="9:11" x14ac:dyDescent="0.25">
      <c r="I4007" s="86">
        <v>4006</v>
      </c>
      <c r="J4007" s="87">
        <v>2.8242572876712142</v>
      </c>
      <c r="K4007" s="87">
        <v>6.7558757823721409</v>
      </c>
    </row>
    <row r="4008" spans="9:11" x14ac:dyDescent="0.25">
      <c r="I4008" s="86">
        <v>4007</v>
      </c>
      <c r="J4008" s="87">
        <v>4.0525590362364152</v>
      </c>
      <c r="K4008" s="87">
        <v>8.5552646570190767</v>
      </c>
    </row>
    <row r="4009" spans="9:11" x14ac:dyDescent="0.25">
      <c r="I4009" s="86">
        <v>4008</v>
      </c>
      <c r="J4009" s="87">
        <v>1.5228967354441396</v>
      </c>
      <c r="K4009" s="87">
        <v>8.743941232580358</v>
      </c>
    </row>
    <row r="4010" spans="9:11" x14ac:dyDescent="0.25">
      <c r="I4010" s="86">
        <v>4009</v>
      </c>
      <c r="J4010" s="87">
        <v>2.0265631326116411</v>
      </c>
      <c r="K4010" s="87">
        <v>6.9616213136600393</v>
      </c>
    </row>
    <row r="4011" spans="9:11" x14ac:dyDescent="0.25">
      <c r="I4011" s="86">
        <v>4010</v>
      </c>
      <c r="J4011" s="87">
        <v>0.46644622536692015</v>
      </c>
      <c r="K4011" s="87">
        <v>6.5918606527693688</v>
      </c>
    </row>
    <row r="4012" spans="9:11" x14ac:dyDescent="0.25">
      <c r="I4012" s="86">
        <v>4011</v>
      </c>
      <c r="J4012" s="87">
        <v>17.52482077707517</v>
      </c>
      <c r="K4012" s="87">
        <v>11.807978158126058</v>
      </c>
    </row>
    <row r="4013" spans="9:11" x14ac:dyDescent="0.25">
      <c r="I4013" s="86">
        <v>4012</v>
      </c>
      <c r="J4013" s="87">
        <v>0.42400613114038466</v>
      </c>
      <c r="K4013" s="87">
        <v>4.8847838943059365</v>
      </c>
    </row>
    <row r="4014" spans="9:11" x14ac:dyDescent="0.25">
      <c r="I4014" s="86">
        <v>4013</v>
      </c>
      <c r="J4014" s="87">
        <v>3.5486091122860017</v>
      </c>
      <c r="K4014" s="87">
        <v>8.9590044193140468</v>
      </c>
    </row>
    <row r="4015" spans="9:11" x14ac:dyDescent="0.25">
      <c r="I4015" s="86">
        <v>4014</v>
      </c>
      <c r="J4015" s="87">
        <v>4.2360368378105315</v>
      </c>
      <c r="K4015" s="87">
        <v>8.6179169476496327</v>
      </c>
    </row>
    <row r="4016" spans="9:11" x14ac:dyDescent="0.25">
      <c r="I4016" s="86">
        <v>4015</v>
      </c>
      <c r="J4016" s="87">
        <v>2.3770806496301988</v>
      </c>
      <c r="K4016" s="87">
        <v>7.7071309084827213</v>
      </c>
    </row>
    <row r="4017" spans="9:11" x14ac:dyDescent="0.25">
      <c r="I4017" s="86">
        <v>4016</v>
      </c>
      <c r="J4017" s="87">
        <v>-0.67167220586655052</v>
      </c>
      <c r="K4017" s="87">
        <v>4.963197518891806</v>
      </c>
    </row>
    <row r="4018" spans="9:11" x14ac:dyDescent="0.25">
      <c r="I4018" s="86">
        <v>4017</v>
      </c>
      <c r="J4018" s="87">
        <v>0.72566046861120181</v>
      </c>
      <c r="K4018" s="87">
        <v>4.8887071784711047</v>
      </c>
    </row>
    <row r="4019" spans="9:11" x14ac:dyDescent="0.25">
      <c r="I4019" s="86">
        <v>4018</v>
      </c>
      <c r="J4019" s="87">
        <v>1.5679349246062344</v>
      </c>
      <c r="K4019" s="87">
        <v>7.4142613203240977</v>
      </c>
    </row>
    <row r="4020" spans="9:11" x14ac:dyDescent="0.25">
      <c r="I4020" s="86">
        <v>4019</v>
      </c>
      <c r="J4020" s="87">
        <v>1.328814317071739</v>
      </c>
      <c r="K4020" s="87">
        <v>7.7615015673484073</v>
      </c>
    </row>
    <row r="4021" spans="9:11" x14ac:dyDescent="0.25">
      <c r="I4021" s="86">
        <v>4020</v>
      </c>
      <c r="J4021" s="87">
        <v>1.1852716264724101</v>
      </c>
      <c r="K4021" s="87">
        <v>6.6346674483169048</v>
      </c>
    </row>
    <row r="4022" spans="9:11" x14ac:dyDescent="0.25">
      <c r="I4022" s="86">
        <v>4021</v>
      </c>
      <c r="J4022" s="87">
        <v>5.3413687304477104</v>
      </c>
      <c r="K4022" s="87">
        <v>8.0957887325167501</v>
      </c>
    </row>
    <row r="4023" spans="9:11" x14ac:dyDescent="0.25">
      <c r="I4023" s="86">
        <v>4022</v>
      </c>
      <c r="J4023" s="87">
        <v>4.6111021646338752</v>
      </c>
      <c r="K4023" s="87">
        <v>9.3611627189404523</v>
      </c>
    </row>
    <row r="4024" spans="9:11" x14ac:dyDescent="0.25">
      <c r="I4024" s="86">
        <v>4023</v>
      </c>
      <c r="J4024" s="87">
        <v>-0.8822942206630211</v>
      </c>
      <c r="K4024" s="87">
        <v>4.4656021567003377</v>
      </c>
    </row>
    <row r="4025" spans="9:11" x14ac:dyDescent="0.25">
      <c r="I4025" s="86">
        <v>4024</v>
      </c>
      <c r="J4025" s="87">
        <v>1.1008645749608994</v>
      </c>
      <c r="K4025" s="87">
        <v>5.8479642872440651</v>
      </c>
    </row>
    <row r="4026" spans="9:11" x14ac:dyDescent="0.25">
      <c r="I4026" s="86">
        <v>4025</v>
      </c>
      <c r="J4026" s="87">
        <v>-0.71549358282099984</v>
      </c>
      <c r="K4026" s="87">
        <v>6.0031030237691869</v>
      </c>
    </row>
    <row r="4027" spans="9:11" x14ac:dyDescent="0.25">
      <c r="I4027" s="86">
        <v>4026</v>
      </c>
      <c r="J4027" s="87">
        <v>2.2233927709997712</v>
      </c>
      <c r="K4027" s="87">
        <v>7.0581396973484232</v>
      </c>
    </row>
    <row r="4028" spans="9:11" x14ac:dyDescent="0.25">
      <c r="I4028" s="86">
        <v>4027</v>
      </c>
      <c r="J4028" s="87">
        <v>-1.1823594682012195</v>
      </c>
      <c r="K4028" s="87">
        <v>4.4829053171389646</v>
      </c>
    </row>
    <row r="4029" spans="9:11" x14ac:dyDescent="0.25">
      <c r="I4029" s="86">
        <v>4028</v>
      </c>
      <c r="J4029" s="87">
        <v>3.3361774072419283</v>
      </c>
      <c r="K4029" s="87">
        <v>7.6968522056609103</v>
      </c>
    </row>
    <row r="4030" spans="9:11" x14ac:dyDescent="0.25">
      <c r="I4030" s="86">
        <v>4029</v>
      </c>
      <c r="J4030" s="87">
        <v>1.9070022032187053</v>
      </c>
      <c r="K4030" s="87">
        <v>8.6505332301853919</v>
      </c>
    </row>
    <row r="4031" spans="9:11" x14ac:dyDescent="0.25">
      <c r="I4031" s="86">
        <v>4030</v>
      </c>
      <c r="J4031" s="87">
        <v>0.99962903137872328</v>
      </c>
      <c r="K4031" s="87">
        <v>6.5304993770419655</v>
      </c>
    </row>
    <row r="4032" spans="9:11" x14ac:dyDescent="0.25">
      <c r="I4032" s="86">
        <v>4031</v>
      </c>
      <c r="J4032" s="87">
        <v>3.3570188112637016</v>
      </c>
      <c r="K4032" s="87">
        <v>5.6829957676699996</v>
      </c>
    </row>
    <row r="4033" spans="9:11" x14ac:dyDescent="0.25">
      <c r="I4033" s="86">
        <v>4032</v>
      </c>
      <c r="J4033" s="87">
        <v>1.2644670225251931</v>
      </c>
      <c r="K4033" s="87">
        <v>4.6298009280376036</v>
      </c>
    </row>
    <row r="4034" spans="9:11" x14ac:dyDescent="0.25">
      <c r="I4034" s="86">
        <v>4033</v>
      </c>
      <c r="J4034" s="87">
        <v>1.4666987932133635</v>
      </c>
      <c r="K4034" s="87">
        <v>6.5113028964019701</v>
      </c>
    </row>
    <row r="4035" spans="9:11" x14ac:dyDescent="0.25">
      <c r="I4035" s="86">
        <v>4034</v>
      </c>
      <c r="J4035" s="87">
        <v>-1.2487885012459525</v>
      </c>
      <c r="K4035" s="87">
        <v>4.0732280431700501</v>
      </c>
    </row>
    <row r="4036" spans="9:11" x14ac:dyDescent="0.25">
      <c r="I4036" s="86">
        <v>4035</v>
      </c>
      <c r="J4036" s="87">
        <v>-0.95666036063123627</v>
      </c>
      <c r="K4036" s="87">
        <v>5.1317262906756147</v>
      </c>
    </row>
    <row r="4037" spans="9:11" x14ac:dyDescent="0.25">
      <c r="I4037" s="86">
        <v>4036</v>
      </c>
      <c r="J4037" s="87">
        <v>-0.20110202716608061</v>
      </c>
      <c r="K4037" s="87">
        <v>4.6911521121226025</v>
      </c>
    </row>
    <row r="4038" spans="9:11" x14ac:dyDescent="0.25">
      <c r="I4038" s="86">
        <v>4037</v>
      </c>
      <c r="J4038" s="87">
        <v>1.8333515161865401</v>
      </c>
      <c r="K4038" s="87">
        <v>7.3032097481563225</v>
      </c>
    </row>
    <row r="4039" spans="9:11" x14ac:dyDescent="0.25">
      <c r="I4039" s="86">
        <v>4038</v>
      </c>
      <c r="J4039" s="87">
        <v>3.9536518601266604</v>
      </c>
      <c r="K4039" s="87">
        <v>6.4884630654101141</v>
      </c>
    </row>
    <row r="4040" spans="9:11" x14ac:dyDescent="0.25">
      <c r="I4040" s="86">
        <v>4039</v>
      </c>
      <c r="J4040" s="87">
        <v>2.8360695666898206</v>
      </c>
      <c r="K4040" s="87">
        <v>5.9036953179977605</v>
      </c>
    </row>
    <row r="4041" spans="9:11" x14ac:dyDescent="0.25">
      <c r="I4041" s="86">
        <v>4040</v>
      </c>
      <c r="J4041" s="87">
        <v>3.8328419904968705</v>
      </c>
      <c r="K4041" s="87">
        <v>10.461187377071713</v>
      </c>
    </row>
    <row r="4042" spans="9:11" x14ac:dyDescent="0.25">
      <c r="I4042" s="86">
        <v>4041</v>
      </c>
      <c r="J4042" s="87">
        <v>8.2969821728814175E-2</v>
      </c>
      <c r="K4042" s="87">
        <v>5.4330467101690374</v>
      </c>
    </row>
    <row r="4043" spans="9:11" x14ac:dyDescent="0.25">
      <c r="I4043" s="86">
        <v>4042</v>
      </c>
      <c r="J4043" s="87">
        <v>1.7032637230669696</v>
      </c>
      <c r="K4043" s="87">
        <v>6.0021336928500082</v>
      </c>
    </row>
    <row r="4044" spans="9:11" x14ac:dyDescent="0.25">
      <c r="I4044" s="86">
        <v>4043</v>
      </c>
      <c r="J4044" s="87">
        <v>8.7582957447309262E-2</v>
      </c>
      <c r="K4044" s="87">
        <v>8.0088182773467835</v>
      </c>
    </row>
    <row r="4045" spans="9:11" x14ac:dyDescent="0.25">
      <c r="I4045" s="86">
        <v>4044</v>
      </c>
      <c r="J4045" s="87">
        <v>0.41901461589763667</v>
      </c>
      <c r="K4045" s="87">
        <v>6.2988810561917212</v>
      </c>
    </row>
    <row r="4046" spans="9:11" x14ac:dyDescent="0.25">
      <c r="I4046" s="86">
        <v>4045</v>
      </c>
      <c r="J4046" s="87">
        <v>1.8372388915445459</v>
      </c>
      <c r="K4046" s="87">
        <v>6.5678699201068662</v>
      </c>
    </row>
    <row r="4047" spans="9:11" x14ac:dyDescent="0.25">
      <c r="I4047" s="86">
        <v>4046</v>
      </c>
      <c r="J4047" s="87">
        <v>1.7187137711943601</v>
      </c>
      <c r="K4047" s="87">
        <v>8.2039197436993891</v>
      </c>
    </row>
    <row r="4048" spans="9:11" x14ac:dyDescent="0.25">
      <c r="I4048" s="86">
        <v>4047</v>
      </c>
      <c r="J4048" s="87">
        <v>-0.74670950401706015</v>
      </c>
      <c r="K4048" s="87">
        <v>5.877553869255367</v>
      </c>
    </row>
    <row r="4049" spans="9:11" x14ac:dyDescent="0.25">
      <c r="I4049" s="86">
        <v>4048</v>
      </c>
      <c r="J4049" s="87">
        <v>2.9941133925488916</v>
      </c>
      <c r="K4049" s="87">
        <v>6.0433877427336924</v>
      </c>
    </row>
    <row r="4050" spans="9:11" x14ac:dyDescent="0.25">
      <c r="I4050" s="86">
        <v>4049</v>
      </c>
      <c r="J4050" s="87">
        <v>5.2734135851853168</v>
      </c>
      <c r="K4050" s="87">
        <v>9.7416399871456942</v>
      </c>
    </row>
    <row r="4051" spans="9:11" x14ac:dyDescent="0.25">
      <c r="I4051" s="86">
        <v>4050</v>
      </c>
      <c r="J4051" s="87">
        <v>-0.15712072305936253</v>
      </c>
      <c r="K4051" s="87">
        <v>5.9658674413283341</v>
      </c>
    </row>
    <row r="4052" spans="9:11" x14ac:dyDescent="0.25">
      <c r="I4052" s="86">
        <v>4051</v>
      </c>
      <c r="J4052" s="87">
        <v>-0.13965827227633287</v>
      </c>
      <c r="K4052" s="87">
        <v>5.4841462598596546</v>
      </c>
    </row>
    <row r="4053" spans="9:11" x14ac:dyDescent="0.25">
      <c r="I4053" s="86">
        <v>4052</v>
      </c>
      <c r="J4053" s="87">
        <v>2.9740089776488752</v>
      </c>
      <c r="K4053" s="87">
        <v>7.4362298826671731</v>
      </c>
    </row>
    <row r="4054" spans="9:11" x14ac:dyDescent="0.25">
      <c r="I4054" s="86">
        <v>4053</v>
      </c>
      <c r="J4054" s="87">
        <v>3.1292598335359401</v>
      </c>
      <c r="K4054" s="87">
        <v>8.867464429473916</v>
      </c>
    </row>
    <row r="4055" spans="9:11" x14ac:dyDescent="0.25">
      <c r="I4055" s="86">
        <v>4054</v>
      </c>
      <c r="J4055" s="87">
        <v>6.5695916743501428</v>
      </c>
      <c r="K4055" s="87">
        <v>11.755772960336067</v>
      </c>
    </row>
    <row r="4056" spans="9:11" x14ac:dyDescent="0.25">
      <c r="I4056" s="86">
        <v>4055</v>
      </c>
      <c r="J4056" s="87">
        <v>5.2783418628393779</v>
      </c>
      <c r="K4056" s="87">
        <v>9.4735797158753172</v>
      </c>
    </row>
    <row r="4057" spans="9:11" x14ac:dyDescent="0.25">
      <c r="I4057" s="86">
        <v>4056</v>
      </c>
      <c r="J4057" s="87">
        <v>3.760768924722762</v>
      </c>
      <c r="K4057" s="87">
        <v>6.3692441691628998</v>
      </c>
    </row>
    <row r="4058" spans="9:11" x14ac:dyDescent="0.25">
      <c r="I4058" s="86">
        <v>4057</v>
      </c>
      <c r="J4058" s="87">
        <v>0.26891832372425561</v>
      </c>
      <c r="K4058" s="87">
        <v>5.3690609840063654</v>
      </c>
    </row>
    <row r="4059" spans="9:11" x14ac:dyDescent="0.25">
      <c r="I4059" s="86">
        <v>4058</v>
      </c>
      <c r="J4059" s="87">
        <v>1.668256603011653</v>
      </c>
      <c r="K4059" s="87">
        <v>5.1238478880468499</v>
      </c>
    </row>
    <row r="4060" spans="9:11" x14ac:dyDescent="0.25">
      <c r="I4060" s="86">
        <v>4059</v>
      </c>
      <c r="J4060" s="87">
        <v>1.9849942039106683</v>
      </c>
      <c r="K4060" s="87">
        <v>5.5824117432068174</v>
      </c>
    </row>
    <row r="4061" spans="9:11" x14ac:dyDescent="0.25">
      <c r="I4061" s="86">
        <v>4060</v>
      </c>
      <c r="J4061" s="87">
        <v>4.6218320059671747</v>
      </c>
      <c r="K4061" s="87">
        <v>7.125377783304172</v>
      </c>
    </row>
    <row r="4062" spans="9:11" x14ac:dyDescent="0.25">
      <c r="I4062" s="86">
        <v>4061</v>
      </c>
      <c r="J4062" s="87">
        <v>0.2857551706812087</v>
      </c>
      <c r="K4062" s="87">
        <v>5.9650902462504112</v>
      </c>
    </row>
    <row r="4063" spans="9:11" x14ac:dyDescent="0.25">
      <c r="I4063" s="86">
        <v>4062</v>
      </c>
      <c r="J4063" s="87">
        <v>1.4737990884965089</v>
      </c>
      <c r="K4063" s="87">
        <v>6.1433393031303574</v>
      </c>
    </row>
    <row r="4064" spans="9:11" x14ac:dyDescent="0.25">
      <c r="I4064" s="86">
        <v>4063</v>
      </c>
      <c r="J4064" s="87">
        <v>1.2044731620615483</v>
      </c>
      <c r="K4064" s="87">
        <v>5.0732065375213269</v>
      </c>
    </row>
    <row r="4065" spans="9:11" x14ac:dyDescent="0.25">
      <c r="I4065" s="86">
        <v>4064</v>
      </c>
      <c r="J4065" s="87">
        <v>12.97593824734874</v>
      </c>
      <c r="K4065" s="87">
        <v>14.905256361751819</v>
      </c>
    </row>
    <row r="4066" spans="9:11" x14ac:dyDescent="0.25">
      <c r="I4066" s="86">
        <v>4065</v>
      </c>
      <c r="J4066" s="87">
        <v>1.1096837389548075</v>
      </c>
      <c r="K4066" s="87">
        <v>5.9499094327963462</v>
      </c>
    </row>
    <row r="4067" spans="9:11" x14ac:dyDescent="0.25">
      <c r="I4067" s="86">
        <v>4066</v>
      </c>
      <c r="J4067" s="87">
        <v>-0.86291952487244039</v>
      </c>
      <c r="K4067" s="87">
        <v>6.1893820230109213</v>
      </c>
    </row>
    <row r="4068" spans="9:11" x14ac:dyDescent="0.25">
      <c r="I4068" s="86">
        <v>4067</v>
      </c>
      <c r="J4068" s="87">
        <v>1.4389200441668399</v>
      </c>
      <c r="K4068" s="87">
        <v>4.5146611915347012</v>
      </c>
    </row>
    <row r="4069" spans="9:11" x14ac:dyDescent="0.25">
      <c r="I4069" s="86">
        <v>4068</v>
      </c>
      <c r="J4069" s="87">
        <v>-0.69816160141002293</v>
      </c>
      <c r="K4069" s="87">
        <v>5.0180047237942791</v>
      </c>
    </row>
    <row r="4070" spans="9:11" x14ac:dyDescent="0.25">
      <c r="I4070" s="86">
        <v>4069</v>
      </c>
      <c r="J4070" s="87">
        <v>-0.16485338667742777</v>
      </c>
      <c r="K4070" s="87">
        <v>5.300461809487123</v>
      </c>
    </row>
    <row r="4071" spans="9:11" x14ac:dyDescent="0.25">
      <c r="I4071" s="86">
        <v>4070</v>
      </c>
      <c r="J4071" s="87">
        <v>2.187997753053744</v>
      </c>
      <c r="K4071" s="87">
        <v>6.5237436877841537</v>
      </c>
    </row>
    <row r="4072" spans="9:11" x14ac:dyDescent="0.25">
      <c r="I4072" s="86">
        <v>4071</v>
      </c>
      <c r="J4072" s="87">
        <v>1.1863460757451252</v>
      </c>
      <c r="K4072" s="87">
        <v>7.4244171138124138</v>
      </c>
    </row>
    <row r="4073" spans="9:11" x14ac:dyDescent="0.25">
      <c r="I4073" s="86">
        <v>4072</v>
      </c>
      <c r="J4073" s="87">
        <v>2.9390485708518428</v>
      </c>
      <c r="K4073" s="87">
        <v>6.9696296436268854</v>
      </c>
    </row>
    <row r="4074" spans="9:11" x14ac:dyDescent="0.25">
      <c r="I4074" s="86">
        <v>4073</v>
      </c>
      <c r="J4074" s="87">
        <v>1.4449744960365285</v>
      </c>
      <c r="K4074" s="87">
        <v>6.9681129576600984</v>
      </c>
    </row>
    <row r="4075" spans="9:11" x14ac:dyDescent="0.25">
      <c r="I4075" s="86">
        <v>4074</v>
      </c>
      <c r="J4075" s="87">
        <v>0.27215606834743156</v>
      </c>
      <c r="K4075" s="87">
        <v>6.6299710572829529</v>
      </c>
    </row>
    <row r="4076" spans="9:11" x14ac:dyDescent="0.25">
      <c r="I4076" s="86">
        <v>4075</v>
      </c>
      <c r="J4076" s="87">
        <v>5.5083661227591456</v>
      </c>
      <c r="K4076" s="87">
        <v>12.647950972537094</v>
      </c>
    </row>
    <row r="4077" spans="9:11" x14ac:dyDescent="0.25">
      <c r="I4077" s="86">
        <v>4076</v>
      </c>
      <c r="J4077" s="87">
        <v>1.1261005219996107</v>
      </c>
      <c r="K4077" s="87">
        <v>7.1822795476218619</v>
      </c>
    </row>
    <row r="4078" spans="9:11" x14ac:dyDescent="0.25">
      <c r="I4078" s="86">
        <v>4077</v>
      </c>
      <c r="J4078" s="87">
        <v>1.6693241319117513</v>
      </c>
      <c r="K4078" s="87">
        <v>7.0865828540633382</v>
      </c>
    </row>
    <row r="4079" spans="9:11" x14ac:dyDescent="0.25">
      <c r="I4079" s="86">
        <v>4078</v>
      </c>
      <c r="J4079" s="87">
        <v>1.5516298456590287</v>
      </c>
      <c r="K4079" s="87">
        <v>5.4331561470897345</v>
      </c>
    </row>
    <row r="4080" spans="9:11" x14ac:dyDescent="0.25">
      <c r="I4080" s="86">
        <v>4079</v>
      </c>
      <c r="J4080" s="87">
        <v>2.764407640523844</v>
      </c>
      <c r="K4080" s="87">
        <v>7.869431490399589</v>
      </c>
    </row>
    <row r="4081" spans="9:11" x14ac:dyDescent="0.25">
      <c r="I4081" s="86">
        <v>4080</v>
      </c>
      <c r="J4081" s="87">
        <v>-1.0359798717602109</v>
      </c>
      <c r="K4081" s="87">
        <v>7.3778242591989809</v>
      </c>
    </row>
    <row r="4082" spans="9:11" x14ac:dyDescent="0.25">
      <c r="I4082" s="86">
        <v>4081</v>
      </c>
      <c r="J4082" s="87">
        <v>1.3253404591546607</v>
      </c>
      <c r="K4082" s="87">
        <v>6.8869979815685634</v>
      </c>
    </row>
    <row r="4083" spans="9:11" x14ac:dyDescent="0.25">
      <c r="I4083" s="86">
        <v>4082</v>
      </c>
      <c r="J4083" s="87">
        <v>2.0640904568555598</v>
      </c>
      <c r="K4083" s="87">
        <v>5.5553409201824069</v>
      </c>
    </row>
    <row r="4084" spans="9:11" x14ac:dyDescent="0.25">
      <c r="I4084" s="86">
        <v>4083</v>
      </c>
      <c r="J4084" s="87">
        <v>4.1809749010621609</v>
      </c>
      <c r="K4084" s="87">
        <v>8.4980968556337935</v>
      </c>
    </row>
    <row r="4085" spans="9:11" x14ac:dyDescent="0.25">
      <c r="I4085" s="86">
        <v>4084</v>
      </c>
      <c r="J4085" s="87">
        <v>0.16084875066987792</v>
      </c>
      <c r="K4085" s="87">
        <v>6.0831335219435223</v>
      </c>
    </row>
    <row r="4086" spans="9:11" x14ac:dyDescent="0.25">
      <c r="I4086" s="86">
        <v>4085</v>
      </c>
      <c r="J4086" s="87">
        <v>1.7497424271450837</v>
      </c>
      <c r="K4086" s="87">
        <v>4.7885403539174671</v>
      </c>
    </row>
    <row r="4087" spans="9:11" x14ac:dyDescent="0.25">
      <c r="I4087" s="86">
        <v>4086</v>
      </c>
      <c r="J4087" s="87">
        <v>0.22710996455136367</v>
      </c>
      <c r="K4087" s="87">
        <v>8.2403088795209456</v>
      </c>
    </row>
    <row r="4088" spans="9:11" x14ac:dyDescent="0.25">
      <c r="I4088" s="86">
        <v>4087</v>
      </c>
      <c r="J4088" s="87">
        <v>-6.6309787835299616E-2</v>
      </c>
      <c r="K4088" s="87">
        <v>5.0521269726636433</v>
      </c>
    </row>
    <row r="4089" spans="9:11" x14ac:dyDescent="0.25">
      <c r="I4089" s="86">
        <v>4088</v>
      </c>
      <c r="J4089" s="87">
        <v>-0.77870064101674874</v>
      </c>
      <c r="K4089" s="87">
        <v>4.2637639802156064</v>
      </c>
    </row>
    <row r="4090" spans="9:11" x14ac:dyDescent="0.25">
      <c r="I4090" s="86">
        <v>4089</v>
      </c>
      <c r="J4090" s="87">
        <v>1.6523011169634287</v>
      </c>
      <c r="K4090" s="87">
        <v>5.4097915579455167</v>
      </c>
    </row>
    <row r="4091" spans="9:11" x14ac:dyDescent="0.25">
      <c r="I4091" s="86">
        <v>4090</v>
      </c>
      <c r="J4091" s="87">
        <v>2.8563896224778222</v>
      </c>
      <c r="K4091" s="87">
        <v>10.118063446172272</v>
      </c>
    </row>
    <row r="4092" spans="9:11" x14ac:dyDescent="0.25">
      <c r="I4092" s="86">
        <v>4091</v>
      </c>
      <c r="J4092" s="87">
        <v>0.19643183134043163</v>
      </c>
      <c r="K4092" s="87">
        <v>6.4619239666519848</v>
      </c>
    </row>
    <row r="4093" spans="9:11" x14ac:dyDescent="0.25">
      <c r="I4093" s="86">
        <v>4092</v>
      </c>
      <c r="J4093" s="87">
        <v>2.5493383461925312</v>
      </c>
      <c r="K4093" s="87">
        <v>5.8435644197392573</v>
      </c>
    </row>
    <row r="4094" spans="9:11" x14ac:dyDescent="0.25">
      <c r="I4094" s="86">
        <v>4093</v>
      </c>
      <c r="J4094" s="87">
        <v>4.5214262840123638</v>
      </c>
      <c r="K4094" s="87">
        <v>7.7311468381277368</v>
      </c>
    </row>
    <row r="4095" spans="9:11" x14ac:dyDescent="0.25">
      <c r="I4095" s="86">
        <v>4094</v>
      </c>
      <c r="J4095" s="87">
        <v>5.7180561128360061</v>
      </c>
      <c r="K4095" s="87">
        <v>10.441900130229486</v>
      </c>
    </row>
    <row r="4096" spans="9:11" x14ac:dyDescent="0.25">
      <c r="I4096" s="86">
        <v>4095</v>
      </c>
      <c r="J4096" s="87">
        <v>2.1124695934607933</v>
      </c>
      <c r="K4096" s="87">
        <v>6.4611426391182754</v>
      </c>
    </row>
    <row r="4097" spans="9:11" x14ac:dyDescent="0.25">
      <c r="I4097" s="86">
        <v>4096</v>
      </c>
      <c r="J4097" s="87">
        <v>1.1825999425950968</v>
      </c>
      <c r="K4097" s="87">
        <v>7.0407982260907565</v>
      </c>
    </row>
    <row r="4098" spans="9:11" x14ac:dyDescent="0.25">
      <c r="I4098" s="86">
        <v>4097</v>
      </c>
      <c r="J4098" s="87">
        <v>0.60020954139647742</v>
      </c>
      <c r="K4098" s="87">
        <v>6.3843016307570215</v>
      </c>
    </row>
    <row r="4099" spans="9:11" x14ac:dyDescent="0.25">
      <c r="I4099" s="86">
        <v>4098</v>
      </c>
      <c r="J4099" s="87">
        <v>12.311793127227673</v>
      </c>
      <c r="K4099" s="87">
        <v>11.518609699767563</v>
      </c>
    </row>
    <row r="4100" spans="9:11" x14ac:dyDescent="0.25">
      <c r="I4100" s="86">
        <v>4099</v>
      </c>
      <c r="J4100" s="87">
        <v>-0.49995468521877662</v>
      </c>
      <c r="K4100" s="87">
        <v>6.0979009008944578</v>
      </c>
    </row>
    <row r="4101" spans="9:11" x14ac:dyDescent="0.25">
      <c r="I4101" s="86">
        <v>4100</v>
      </c>
      <c r="J4101" s="87">
        <v>1.6323403473179292</v>
      </c>
      <c r="K4101" s="87">
        <v>6.6204909683793156</v>
      </c>
    </row>
    <row r="4102" spans="9:11" x14ac:dyDescent="0.25">
      <c r="I4102" s="86">
        <v>4101</v>
      </c>
      <c r="J4102" s="87">
        <v>2.1547283656067204</v>
      </c>
      <c r="K4102" s="87">
        <v>7.6151080664400617</v>
      </c>
    </row>
    <row r="4103" spans="9:11" x14ac:dyDescent="0.25">
      <c r="I4103" s="86">
        <v>4102</v>
      </c>
      <c r="J4103" s="87">
        <v>5.3267325086156427</v>
      </c>
      <c r="K4103" s="87">
        <v>8.3355588270290379</v>
      </c>
    </row>
    <row r="4104" spans="9:11" x14ac:dyDescent="0.25">
      <c r="I4104" s="86">
        <v>4103</v>
      </c>
      <c r="J4104" s="87">
        <v>6.7496067564986717E-2</v>
      </c>
      <c r="K4104" s="87">
        <v>7.33298895418962</v>
      </c>
    </row>
    <row r="4105" spans="9:11" x14ac:dyDescent="0.25">
      <c r="I4105" s="86">
        <v>4104</v>
      </c>
      <c r="J4105" s="87">
        <v>0.63382638927828872</v>
      </c>
      <c r="K4105" s="87">
        <v>6.0795812390670649</v>
      </c>
    </row>
    <row r="4106" spans="9:11" x14ac:dyDescent="0.25">
      <c r="I4106" s="86">
        <v>4105</v>
      </c>
      <c r="J4106" s="87">
        <v>0.82437259724886314</v>
      </c>
      <c r="K4106" s="87">
        <v>5.5323030373921238</v>
      </c>
    </row>
    <row r="4107" spans="9:11" x14ac:dyDescent="0.25">
      <c r="I4107" s="86">
        <v>4106</v>
      </c>
      <c r="J4107" s="87">
        <v>2.1134053485134032</v>
      </c>
      <c r="K4107" s="87">
        <v>8.4694759050250426</v>
      </c>
    </row>
    <row r="4108" spans="9:11" x14ac:dyDescent="0.25">
      <c r="I4108" s="86">
        <v>4107</v>
      </c>
      <c r="J4108" s="87">
        <v>0.75407675941622365</v>
      </c>
      <c r="K4108" s="87">
        <v>6.8429277684404095</v>
      </c>
    </row>
    <row r="4109" spans="9:11" x14ac:dyDescent="0.25">
      <c r="I4109" s="86">
        <v>4108</v>
      </c>
      <c r="J4109" s="87">
        <v>2.5745836306425218</v>
      </c>
      <c r="K4109" s="87">
        <v>7.370962388513072</v>
      </c>
    </row>
    <row r="4110" spans="9:11" x14ac:dyDescent="0.25">
      <c r="I4110" s="86">
        <v>4109</v>
      </c>
      <c r="J4110" s="87">
        <v>2.3097688147924971</v>
      </c>
      <c r="K4110" s="87">
        <v>5.4688602947991143</v>
      </c>
    </row>
    <row r="4111" spans="9:11" x14ac:dyDescent="0.25">
      <c r="I4111" s="86">
        <v>4110</v>
      </c>
      <c r="J4111" s="87">
        <v>-0.19506946704855732</v>
      </c>
      <c r="K4111" s="87">
        <v>7.1865380517321835</v>
      </c>
    </row>
    <row r="4112" spans="9:11" x14ac:dyDescent="0.25">
      <c r="I4112" s="86">
        <v>4111</v>
      </c>
      <c r="J4112" s="87">
        <v>0.48035750153417434</v>
      </c>
      <c r="K4112" s="87">
        <v>4.6374454604401514</v>
      </c>
    </row>
    <row r="4113" spans="9:11" x14ac:dyDescent="0.25">
      <c r="I4113" s="86">
        <v>4112</v>
      </c>
      <c r="J4113" s="87">
        <v>4.2980363798056569</v>
      </c>
      <c r="K4113" s="87">
        <v>8.4741950322501847</v>
      </c>
    </row>
    <row r="4114" spans="9:11" x14ac:dyDescent="0.25">
      <c r="I4114" s="86">
        <v>4113</v>
      </c>
      <c r="J4114" s="87">
        <v>1.1405401326369433</v>
      </c>
      <c r="K4114" s="87">
        <v>5.7159181345081453</v>
      </c>
    </row>
    <row r="4115" spans="9:11" x14ac:dyDescent="0.25">
      <c r="I4115" s="86">
        <v>4114</v>
      </c>
      <c r="J4115" s="87">
        <v>3.3025274171036303</v>
      </c>
      <c r="K4115" s="87">
        <v>7.4238800568287164</v>
      </c>
    </row>
    <row r="4116" spans="9:11" x14ac:dyDescent="0.25">
      <c r="I4116" s="86">
        <v>4115</v>
      </c>
      <c r="J4116" s="87">
        <v>-0.67838100780878996</v>
      </c>
      <c r="K4116" s="87">
        <v>4.152860745515607</v>
      </c>
    </row>
    <row r="4117" spans="9:11" x14ac:dyDescent="0.25">
      <c r="I4117" s="86">
        <v>4116</v>
      </c>
      <c r="J4117" s="87">
        <v>6.5589039442318438</v>
      </c>
      <c r="K4117" s="87">
        <v>10.588202195953761</v>
      </c>
    </row>
    <row r="4118" spans="9:11" x14ac:dyDescent="0.25">
      <c r="I4118" s="86">
        <v>4117</v>
      </c>
      <c r="J4118" s="87">
        <v>2.796592253264139</v>
      </c>
      <c r="K4118" s="87">
        <v>8.0601166016331121</v>
      </c>
    </row>
    <row r="4119" spans="9:11" x14ac:dyDescent="0.25">
      <c r="I4119" s="86">
        <v>4118</v>
      </c>
      <c r="J4119" s="87">
        <v>2.8917276017776778</v>
      </c>
      <c r="K4119" s="87">
        <v>8.595628041902561</v>
      </c>
    </row>
    <row r="4120" spans="9:11" x14ac:dyDescent="0.25">
      <c r="I4120" s="86">
        <v>4119</v>
      </c>
      <c r="J4120" s="87">
        <v>-1.484017982088897</v>
      </c>
      <c r="K4120" s="87">
        <v>4.7659033810312623</v>
      </c>
    </row>
    <row r="4121" spans="9:11" x14ac:dyDescent="0.25">
      <c r="I4121" s="86">
        <v>4120</v>
      </c>
      <c r="J4121" s="87">
        <v>0.32276505355299534</v>
      </c>
      <c r="K4121" s="87">
        <v>6.3099891876685179</v>
      </c>
    </row>
    <row r="4122" spans="9:11" x14ac:dyDescent="0.25">
      <c r="I4122" s="86">
        <v>4121</v>
      </c>
      <c r="J4122" s="87">
        <v>-2.791966367387877E-2</v>
      </c>
      <c r="K4122" s="87">
        <v>4.1678692382620115</v>
      </c>
    </row>
    <row r="4123" spans="9:11" x14ac:dyDescent="0.25">
      <c r="I4123" s="86">
        <v>4122</v>
      </c>
      <c r="J4123" s="87">
        <v>3.6753174543599343</v>
      </c>
      <c r="K4123" s="87">
        <v>10.27145324671654</v>
      </c>
    </row>
    <row r="4124" spans="9:11" x14ac:dyDescent="0.25">
      <c r="I4124" s="86">
        <v>4123</v>
      </c>
      <c r="J4124" s="87">
        <v>0.45042680839970473</v>
      </c>
      <c r="K4124" s="87">
        <v>6.2887327536361104</v>
      </c>
    </row>
    <row r="4125" spans="9:11" x14ac:dyDescent="0.25">
      <c r="I4125" s="86">
        <v>4124</v>
      </c>
      <c r="J4125" s="87">
        <v>-0.32915697780300501</v>
      </c>
      <c r="K4125" s="87">
        <v>5.0476691814931609</v>
      </c>
    </row>
    <row r="4126" spans="9:11" x14ac:dyDescent="0.25">
      <c r="I4126" s="86">
        <v>4125</v>
      </c>
      <c r="J4126" s="87">
        <v>1.904195264896007</v>
      </c>
      <c r="K4126" s="87">
        <v>7.7956291345180819</v>
      </c>
    </row>
    <row r="4127" spans="9:11" x14ac:dyDescent="0.25">
      <c r="I4127" s="86">
        <v>4126</v>
      </c>
      <c r="J4127" s="87">
        <v>3.2188649164975116</v>
      </c>
      <c r="K4127" s="87">
        <v>8.8446934980898</v>
      </c>
    </row>
    <row r="4128" spans="9:11" x14ac:dyDescent="0.25">
      <c r="I4128" s="86">
        <v>4127</v>
      </c>
      <c r="J4128" s="87">
        <v>2.2241610918886163</v>
      </c>
      <c r="K4128" s="87">
        <v>7.2398971431606487</v>
      </c>
    </row>
    <row r="4129" spans="9:11" x14ac:dyDescent="0.25">
      <c r="I4129" s="86">
        <v>4128</v>
      </c>
      <c r="J4129" s="87">
        <v>0.12556994171329894</v>
      </c>
      <c r="K4129" s="87">
        <v>5.582148400429416</v>
      </c>
    </row>
    <row r="4130" spans="9:11" x14ac:dyDescent="0.25">
      <c r="I4130" s="86">
        <v>4129</v>
      </c>
      <c r="J4130" s="87">
        <v>-0.34199760284552649</v>
      </c>
      <c r="K4130" s="87">
        <v>6.1975205707761569</v>
      </c>
    </row>
    <row r="4131" spans="9:11" x14ac:dyDescent="0.25">
      <c r="I4131" s="86">
        <v>4130</v>
      </c>
      <c r="J4131" s="87">
        <v>0.53291322499198346</v>
      </c>
      <c r="K4131" s="87">
        <v>5.2212320712641516</v>
      </c>
    </row>
    <row r="4132" spans="9:11" x14ac:dyDescent="0.25">
      <c r="I4132" s="86">
        <v>4131</v>
      </c>
      <c r="J4132" s="87">
        <v>2.9617695922142762</v>
      </c>
      <c r="K4132" s="87">
        <v>7.2909701434302603</v>
      </c>
    </row>
    <row r="4133" spans="9:11" x14ac:dyDescent="0.25">
      <c r="I4133" s="86">
        <v>4132</v>
      </c>
      <c r="J4133" s="87">
        <v>-2.3071881570153518</v>
      </c>
      <c r="K4133" s="87">
        <v>4.9528877655353263</v>
      </c>
    </row>
    <row r="4134" spans="9:11" x14ac:dyDescent="0.25">
      <c r="I4134" s="86">
        <v>4133</v>
      </c>
      <c r="J4134" s="87">
        <v>1.4801964510606118</v>
      </c>
      <c r="K4134" s="87">
        <v>4.8976669998231586</v>
      </c>
    </row>
    <row r="4135" spans="9:11" x14ac:dyDescent="0.25">
      <c r="I4135" s="86">
        <v>4134</v>
      </c>
      <c r="J4135" s="87">
        <v>0.37049730023067795</v>
      </c>
      <c r="K4135" s="87">
        <v>6.0528980769094689</v>
      </c>
    </row>
    <row r="4136" spans="9:11" x14ac:dyDescent="0.25">
      <c r="I4136" s="86">
        <v>4135</v>
      </c>
      <c r="J4136" s="87">
        <v>2.4246113888015053</v>
      </c>
      <c r="K4136" s="87">
        <v>9.4527894396847607</v>
      </c>
    </row>
    <row r="4137" spans="9:11" x14ac:dyDescent="0.25">
      <c r="I4137" s="86">
        <v>4136</v>
      </c>
      <c r="J4137" s="87">
        <v>-1.8148866829801786</v>
      </c>
      <c r="K4137" s="87">
        <v>5.2291414067382309</v>
      </c>
    </row>
    <row r="4138" spans="9:11" x14ac:dyDescent="0.25">
      <c r="I4138" s="86">
        <v>4137</v>
      </c>
      <c r="J4138" s="87">
        <v>1.1487986143644329</v>
      </c>
      <c r="K4138" s="87">
        <v>5.4070709763999298</v>
      </c>
    </row>
    <row r="4139" spans="9:11" x14ac:dyDescent="0.25">
      <c r="I4139" s="86">
        <v>4138</v>
      </c>
      <c r="J4139" s="87">
        <v>1.331185496166631</v>
      </c>
      <c r="K4139" s="87">
        <v>6.6629468766419704</v>
      </c>
    </row>
    <row r="4140" spans="9:11" x14ac:dyDescent="0.25">
      <c r="I4140" s="86">
        <v>4139</v>
      </c>
      <c r="J4140" s="87">
        <v>-1.1761475544515836</v>
      </c>
      <c r="K4140" s="87">
        <v>5.5015040802423236</v>
      </c>
    </row>
    <row r="4141" spans="9:11" x14ac:dyDescent="0.25">
      <c r="I4141" s="86">
        <v>4140</v>
      </c>
      <c r="J4141" s="87">
        <v>-0.40371726294222388</v>
      </c>
      <c r="K4141" s="87">
        <v>5.4620711864933114</v>
      </c>
    </row>
    <row r="4142" spans="9:11" x14ac:dyDescent="0.25">
      <c r="I4142" s="86">
        <v>4141</v>
      </c>
      <c r="J4142" s="87">
        <v>-7.0884074316513335E-2</v>
      </c>
      <c r="K4142" s="87">
        <v>5.4451933646658963</v>
      </c>
    </row>
    <row r="4143" spans="9:11" x14ac:dyDescent="0.25">
      <c r="I4143" s="86">
        <v>4142</v>
      </c>
      <c r="J4143" s="87">
        <v>1.1861865746903417</v>
      </c>
      <c r="K4143" s="87">
        <v>8.1591984108982842</v>
      </c>
    </row>
    <row r="4144" spans="9:11" x14ac:dyDescent="0.25">
      <c r="I4144" s="86">
        <v>4143</v>
      </c>
      <c r="J4144" s="87">
        <v>-1.0305504707347719</v>
      </c>
      <c r="K4144" s="87">
        <v>5.6738129145668195</v>
      </c>
    </row>
    <row r="4145" spans="9:11" x14ac:dyDescent="0.25">
      <c r="I4145" s="86">
        <v>4144</v>
      </c>
      <c r="J4145" s="87">
        <v>1.8254627219623929</v>
      </c>
      <c r="K4145" s="87">
        <v>9.055556009519055</v>
      </c>
    </row>
    <row r="4146" spans="9:11" x14ac:dyDescent="0.25">
      <c r="I4146" s="86">
        <v>4145</v>
      </c>
      <c r="J4146" s="87">
        <v>1.5212528964314469</v>
      </c>
      <c r="K4146" s="87">
        <v>7.7223631823258625</v>
      </c>
    </row>
    <row r="4147" spans="9:11" x14ac:dyDescent="0.25">
      <c r="I4147" s="86">
        <v>4146</v>
      </c>
      <c r="J4147" s="87">
        <v>2.1050509979042005</v>
      </c>
      <c r="K4147" s="87">
        <v>6.8293245579276496</v>
      </c>
    </row>
    <row r="4148" spans="9:11" x14ac:dyDescent="0.25">
      <c r="I4148" s="86">
        <v>4147</v>
      </c>
      <c r="J4148" s="87">
        <v>3.3365120537145936</v>
      </c>
      <c r="K4148" s="87">
        <v>5.8147310125255025</v>
      </c>
    </row>
    <row r="4149" spans="9:11" x14ac:dyDescent="0.25">
      <c r="I4149" s="86">
        <v>4148</v>
      </c>
      <c r="J4149" s="87">
        <v>2.2313128207521329</v>
      </c>
      <c r="K4149" s="87">
        <v>7.1504032488492761</v>
      </c>
    </row>
    <row r="4150" spans="9:11" x14ac:dyDescent="0.25">
      <c r="I4150" s="86">
        <v>4149</v>
      </c>
      <c r="J4150" s="87">
        <v>0.39964636465773173</v>
      </c>
      <c r="K4150" s="87">
        <v>5.2758855978872479</v>
      </c>
    </row>
    <row r="4151" spans="9:11" x14ac:dyDescent="0.25">
      <c r="I4151" s="86">
        <v>4150</v>
      </c>
      <c r="J4151" s="87">
        <v>-1.0369787067001406</v>
      </c>
      <c r="K4151" s="87">
        <v>4.8845311173897361</v>
      </c>
    </row>
    <row r="4152" spans="9:11" x14ac:dyDescent="0.25">
      <c r="I4152" s="86">
        <v>4151</v>
      </c>
      <c r="J4152" s="87">
        <v>2.4340406110783412</v>
      </c>
      <c r="K4152" s="87">
        <v>7.8622886028990786</v>
      </c>
    </row>
    <row r="4153" spans="9:11" x14ac:dyDescent="0.25">
      <c r="I4153" s="86">
        <v>4152</v>
      </c>
      <c r="J4153" s="87">
        <v>0.56003740614309239</v>
      </c>
      <c r="K4153" s="87">
        <v>5.4192536986312927</v>
      </c>
    </row>
    <row r="4154" spans="9:11" x14ac:dyDescent="0.25">
      <c r="I4154" s="86">
        <v>4153</v>
      </c>
      <c r="J4154" s="87">
        <v>1.4530492058643243</v>
      </c>
      <c r="K4154" s="87">
        <v>6.1284368526810455</v>
      </c>
    </row>
    <row r="4155" spans="9:11" x14ac:dyDescent="0.25">
      <c r="I4155" s="86">
        <v>4154</v>
      </c>
      <c r="J4155" s="87">
        <v>1.6312465208322369</v>
      </c>
      <c r="K4155" s="87">
        <v>8.0460124073356916</v>
      </c>
    </row>
    <row r="4156" spans="9:11" x14ac:dyDescent="0.25">
      <c r="I4156" s="86">
        <v>4155</v>
      </c>
      <c r="J4156" s="87">
        <v>3.5679064871135751</v>
      </c>
      <c r="K4156" s="87">
        <v>8.2114383926647161</v>
      </c>
    </row>
    <row r="4157" spans="9:11" x14ac:dyDescent="0.25">
      <c r="I4157" s="86">
        <v>4156</v>
      </c>
      <c r="J4157" s="87">
        <v>1.2077797133723456</v>
      </c>
      <c r="K4157" s="87">
        <v>7.017698607363438</v>
      </c>
    </row>
    <row r="4158" spans="9:11" x14ac:dyDescent="0.25">
      <c r="I4158" s="86">
        <v>4157</v>
      </c>
      <c r="J4158" s="87">
        <v>23.016186059873348</v>
      </c>
      <c r="K4158" s="87">
        <v>17.430694018790852</v>
      </c>
    </row>
    <row r="4159" spans="9:11" x14ac:dyDescent="0.25">
      <c r="I4159" s="86">
        <v>4158</v>
      </c>
      <c r="J4159" s="87">
        <v>3.3058427765393619</v>
      </c>
      <c r="K4159" s="87">
        <v>9.1093689291621107</v>
      </c>
    </row>
    <row r="4160" spans="9:11" x14ac:dyDescent="0.25">
      <c r="I4160" s="86">
        <v>4159</v>
      </c>
      <c r="J4160" s="87">
        <v>4.7647558400908476</v>
      </c>
      <c r="K4160" s="87">
        <v>7.8318850362773578</v>
      </c>
    </row>
    <row r="4161" spans="9:11" x14ac:dyDescent="0.25">
      <c r="I4161" s="86">
        <v>4160</v>
      </c>
      <c r="J4161" s="87">
        <v>5.4481178272448361E-2</v>
      </c>
      <c r="K4161" s="87">
        <v>6.0545896421238945</v>
      </c>
    </row>
    <row r="4162" spans="9:11" x14ac:dyDescent="0.25">
      <c r="I4162" s="86">
        <v>4161</v>
      </c>
      <c r="J4162" s="87">
        <v>3.035738674074044</v>
      </c>
      <c r="K4162" s="87">
        <v>8.1695427421811271</v>
      </c>
    </row>
    <row r="4163" spans="9:11" x14ac:dyDescent="0.25">
      <c r="I4163" s="86">
        <v>4162</v>
      </c>
      <c r="J4163" s="87">
        <v>4.1804891468099781</v>
      </c>
      <c r="K4163" s="87">
        <v>7.5184219546398934</v>
      </c>
    </row>
    <row r="4164" spans="9:11" x14ac:dyDescent="0.25">
      <c r="I4164" s="86">
        <v>4163</v>
      </c>
      <c r="J4164" s="87">
        <v>1.0872563051476161</v>
      </c>
      <c r="K4164" s="87">
        <v>4.8213634638156941</v>
      </c>
    </row>
    <row r="4165" spans="9:11" x14ac:dyDescent="0.25">
      <c r="I4165" s="86">
        <v>4164</v>
      </c>
      <c r="J4165" s="87">
        <v>0.88053382641416267</v>
      </c>
      <c r="K4165" s="87">
        <v>5.6317860671398314</v>
      </c>
    </row>
    <row r="4166" spans="9:11" x14ac:dyDescent="0.25">
      <c r="I4166" s="86">
        <v>4165</v>
      </c>
      <c r="J4166" s="87">
        <v>3.521655644486489</v>
      </c>
      <c r="K4166" s="87">
        <v>6.5234468706855484</v>
      </c>
    </row>
    <row r="4167" spans="9:11" x14ac:dyDescent="0.25">
      <c r="I4167" s="86">
        <v>4166</v>
      </c>
      <c r="J4167" s="87">
        <v>0.18623745702346284</v>
      </c>
      <c r="K4167" s="87">
        <v>5.6377019319159247</v>
      </c>
    </row>
    <row r="4168" spans="9:11" x14ac:dyDescent="0.25">
      <c r="I4168" s="86">
        <v>4167</v>
      </c>
      <c r="J4168" s="87">
        <v>5.4224706838865799</v>
      </c>
      <c r="K4168" s="87">
        <v>11.544857950156084</v>
      </c>
    </row>
    <row r="4169" spans="9:11" x14ac:dyDescent="0.25">
      <c r="I4169" s="86">
        <v>4168</v>
      </c>
      <c r="J4169" s="87">
        <v>0.63284064084741409</v>
      </c>
      <c r="K4169" s="87">
        <v>6.5108785668241884</v>
      </c>
    </row>
    <row r="4170" spans="9:11" x14ac:dyDescent="0.25">
      <c r="I4170" s="86">
        <v>4169</v>
      </c>
      <c r="J4170" s="87">
        <v>-0.77726510208746014</v>
      </c>
      <c r="K4170" s="87">
        <v>5.9650463647805481</v>
      </c>
    </row>
    <row r="4171" spans="9:11" x14ac:dyDescent="0.25">
      <c r="I4171" s="86">
        <v>4170</v>
      </c>
      <c r="J4171" s="87">
        <v>1.8068280458325443</v>
      </c>
      <c r="K4171" s="87">
        <v>6.8119799005812265</v>
      </c>
    </row>
    <row r="4172" spans="9:11" x14ac:dyDescent="0.25">
      <c r="I4172" s="86">
        <v>4171</v>
      </c>
      <c r="J4172" s="87">
        <v>5.4494069826481537</v>
      </c>
      <c r="K4172" s="87">
        <v>9.1250127415816369</v>
      </c>
    </row>
    <row r="4173" spans="9:11" x14ac:dyDescent="0.25">
      <c r="I4173" s="86">
        <v>4172</v>
      </c>
      <c r="J4173" s="87">
        <v>0.90883429350826894</v>
      </c>
      <c r="K4173" s="87">
        <v>5.9866299767875732</v>
      </c>
    </row>
    <row r="4174" spans="9:11" x14ac:dyDescent="0.25">
      <c r="I4174" s="86">
        <v>4173</v>
      </c>
      <c r="J4174" s="87">
        <v>1.5855777106941211</v>
      </c>
      <c r="K4174" s="87">
        <v>6.0200182163574079</v>
      </c>
    </row>
    <row r="4175" spans="9:11" x14ac:dyDescent="0.25">
      <c r="I4175" s="86">
        <v>4174</v>
      </c>
      <c r="J4175" s="87">
        <v>2.8692501523146099</v>
      </c>
      <c r="K4175" s="87">
        <v>8.5721907284124441</v>
      </c>
    </row>
    <row r="4176" spans="9:11" x14ac:dyDescent="0.25">
      <c r="I4176" s="86">
        <v>4175</v>
      </c>
      <c r="J4176" s="87">
        <v>1.7069114991780658</v>
      </c>
      <c r="K4176" s="87">
        <v>5.8237805276445771</v>
      </c>
    </row>
    <row r="4177" spans="9:11" x14ac:dyDescent="0.25">
      <c r="I4177" s="86">
        <v>4176</v>
      </c>
      <c r="J4177" s="87">
        <v>6.9924180054700802</v>
      </c>
      <c r="K4177" s="87">
        <v>9.8932166296419464</v>
      </c>
    </row>
    <row r="4178" spans="9:11" x14ac:dyDescent="0.25">
      <c r="I4178" s="86">
        <v>4177</v>
      </c>
      <c r="J4178" s="87">
        <v>-0.14801725558660106</v>
      </c>
      <c r="K4178" s="87">
        <v>4.7789258318362187</v>
      </c>
    </row>
    <row r="4179" spans="9:11" x14ac:dyDescent="0.25">
      <c r="I4179" s="86">
        <v>4178</v>
      </c>
      <c r="J4179" s="87">
        <v>1.8262930764346574</v>
      </c>
      <c r="K4179" s="87">
        <v>5.9475359788993432</v>
      </c>
    </row>
    <row r="4180" spans="9:11" x14ac:dyDescent="0.25">
      <c r="I4180" s="86">
        <v>4179</v>
      </c>
      <c r="J4180" s="87">
        <v>8.3313858320626544E-2</v>
      </c>
      <c r="K4180" s="87">
        <v>5.212593879177768</v>
      </c>
    </row>
    <row r="4181" spans="9:11" x14ac:dyDescent="0.25">
      <c r="I4181" s="86">
        <v>4180</v>
      </c>
      <c r="J4181" s="87">
        <v>0.38434970285507131</v>
      </c>
      <c r="K4181" s="87">
        <v>5.7344203460957921</v>
      </c>
    </row>
    <row r="4182" spans="9:11" x14ac:dyDescent="0.25">
      <c r="I4182" s="86">
        <v>4181</v>
      </c>
      <c r="J4182" s="87">
        <v>-0.66738288831182935</v>
      </c>
      <c r="K4182" s="87">
        <v>7.306912371990423</v>
      </c>
    </row>
    <row r="4183" spans="9:11" x14ac:dyDescent="0.25">
      <c r="I4183" s="86">
        <v>4182</v>
      </c>
      <c r="J4183" s="87">
        <v>0.66350499562599641</v>
      </c>
      <c r="K4183" s="87">
        <v>5.2018267599858703</v>
      </c>
    </row>
    <row r="4184" spans="9:11" x14ac:dyDescent="0.25">
      <c r="I4184" s="86">
        <v>4183</v>
      </c>
      <c r="J4184" s="87">
        <v>2.1754283563299071</v>
      </c>
      <c r="K4184" s="87">
        <v>6.4216750240914742</v>
      </c>
    </row>
    <row r="4185" spans="9:11" x14ac:dyDescent="0.25">
      <c r="I4185" s="86">
        <v>4184</v>
      </c>
      <c r="J4185" s="87">
        <v>1.2111990127844954</v>
      </c>
      <c r="K4185" s="87">
        <v>5.7777274288462301</v>
      </c>
    </row>
    <row r="4186" spans="9:11" x14ac:dyDescent="0.25">
      <c r="I4186" s="86">
        <v>4185</v>
      </c>
      <c r="J4186" s="87">
        <v>-0.96426733822035171</v>
      </c>
      <c r="K4186" s="87">
        <v>4.4383653192629957</v>
      </c>
    </row>
    <row r="4187" spans="9:11" x14ac:dyDescent="0.25">
      <c r="I4187" s="86">
        <v>4186</v>
      </c>
      <c r="J4187" s="87">
        <v>5.0569623786555908</v>
      </c>
      <c r="K4187" s="87">
        <v>10.431429804959752</v>
      </c>
    </row>
    <row r="4188" spans="9:11" x14ac:dyDescent="0.25">
      <c r="I4188" s="86">
        <v>4187</v>
      </c>
      <c r="J4188" s="87">
        <v>4.910001990599957</v>
      </c>
      <c r="K4188" s="87">
        <v>8.8615602049757864</v>
      </c>
    </row>
    <row r="4189" spans="9:11" x14ac:dyDescent="0.25">
      <c r="I4189" s="86">
        <v>4188</v>
      </c>
      <c r="J4189" s="87">
        <v>1.7412921736179392</v>
      </c>
      <c r="K4189" s="87">
        <v>5.6262062596473212</v>
      </c>
    </row>
    <row r="4190" spans="9:11" x14ac:dyDescent="0.25">
      <c r="I4190" s="86">
        <v>4189</v>
      </c>
      <c r="J4190" s="87">
        <v>5.5901205999235906</v>
      </c>
      <c r="K4190" s="87">
        <v>8.5778952316857549</v>
      </c>
    </row>
    <row r="4191" spans="9:11" x14ac:dyDescent="0.25">
      <c r="I4191" s="86">
        <v>4190</v>
      </c>
      <c r="J4191" s="87">
        <v>2.5738925304762761</v>
      </c>
      <c r="K4191" s="87">
        <v>8.43285984588913</v>
      </c>
    </row>
    <row r="4192" spans="9:11" x14ac:dyDescent="0.25">
      <c r="I4192" s="86">
        <v>4191</v>
      </c>
      <c r="J4192" s="87">
        <v>1.0271628886346775</v>
      </c>
      <c r="K4192" s="87">
        <v>6.1843218652142777</v>
      </c>
    </row>
    <row r="4193" spans="9:11" x14ac:dyDescent="0.25">
      <c r="I4193" s="86">
        <v>4192</v>
      </c>
      <c r="J4193" s="87">
        <v>-7.6964877075099913E-2</v>
      </c>
      <c r="K4193" s="87">
        <v>5.4578984953025609</v>
      </c>
    </row>
    <row r="4194" spans="9:11" x14ac:dyDescent="0.25">
      <c r="I4194" s="86">
        <v>4193</v>
      </c>
      <c r="J4194" s="87">
        <v>0.76984909208445096</v>
      </c>
      <c r="K4194" s="87">
        <v>7.5257383287675772</v>
      </c>
    </row>
    <row r="4195" spans="9:11" x14ac:dyDescent="0.25">
      <c r="I4195" s="86">
        <v>4194</v>
      </c>
      <c r="J4195" s="87">
        <v>-0.87748845575475842</v>
      </c>
      <c r="K4195" s="87">
        <v>4.7764872099064926</v>
      </c>
    </row>
    <row r="4196" spans="9:11" x14ac:dyDescent="0.25">
      <c r="I4196" s="86">
        <v>4195</v>
      </c>
      <c r="J4196" s="87">
        <v>-0.36702281127567105</v>
      </c>
      <c r="K4196" s="87">
        <v>5.9084270143871329</v>
      </c>
    </row>
    <row r="4197" spans="9:11" x14ac:dyDescent="0.25">
      <c r="I4197" s="86">
        <v>4196</v>
      </c>
      <c r="J4197" s="87">
        <v>5.7594675264371329</v>
      </c>
      <c r="K4197" s="87">
        <v>10.835019408817908</v>
      </c>
    </row>
    <row r="4198" spans="9:11" x14ac:dyDescent="0.25">
      <c r="I4198" s="86">
        <v>4197</v>
      </c>
      <c r="J4198" s="87">
        <v>2.0570871467239877</v>
      </c>
      <c r="K4198" s="87">
        <v>8.5875595545792667</v>
      </c>
    </row>
    <row r="4199" spans="9:11" x14ac:dyDescent="0.25">
      <c r="I4199" s="86">
        <v>4198</v>
      </c>
      <c r="J4199" s="87">
        <v>1.9257386725245462</v>
      </c>
      <c r="K4199" s="87">
        <v>5.0373402659264723</v>
      </c>
    </row>
    <row r="4200" spans="9:11" x14ac:dyDescent="0.25">
      <c r="I4200" s="86">
        <v>4199</v>
      </c>
      <c r="J4200" s="87">
        <v>0.98713339083372142</v>
      </c>
      <c r="K4200" s="87">
        <v>4.8980011587909829</v>
      </c>
    </row>
    <row r="4201" spans="9:11" x14ac:dyDescent="0.25">
      <c r="I4201" s="86">
        <v>4200</v>
      </c>
      <c r="J4201" s="87">
        <v>2.6210481863915964</v>
      </c>
      <c r="K4201" s="87">
        <v>7.628165702730862</v>
      </c>
    </row>
    <row r="4202" spans="9:11" x14ac:dyDescent="0.25">
      <c r="I4202" s="86">
        <v>4201</v>
      </c>
      <c r="J4202" s="87">
        <v>3.1123859377793757</v>
      </c>
      <c r="K4202" s="87">
        <v>7.0083164434397451</v>
      </c>
    </row>
    <row r="4203" spans="9:11" x14ac:dyDescent="0.25">
      <c r="I4203" s="86">
        <v>4202</v>
      </c>
      <c r="J4203" s="87">
        <v>0.23098393926720284</v>
      </c>
      <c r="K4203" s="87">
        <v>6.0407537808098191</v>
      </c>
    </row>
    <row r="4204" spans="9:11" x14ac:dyDescent="0.25">
      <c r="I4204" s="86">
        <v>4203</v>
      </c>
      <c r="J4204" s="87">
        <v>3.323909066080823</v>
      </c>
      <c r="K4204" s="87">
        <v>10.025713103529148</v>
      </c>
    </row>
    <row r="4205" spans="9:11" x14ac:dyDescent="0.25">
      <c r="I4205" s="86">
        <v>4204</v>
      </c>
      <c r="J4205" s="87">
        <v>1.7069236299671964</v>
      </c>
      <c r="K4205" s="87">
        <v>7.225082321178208</v>
      </c>
    </row>
    <row r="4206" spans="9:11" x14ac:dyDescent="0.25">
      <c r="I4206" s="86">
        <v>4205</v>
      </c>
      <c r="J4206" s="87">
        <v>6.3169246885028905</v>
      </c>
      <c r="K4206" s="87">
        <v>8.6217026999554385</v>
      </c>
    </row>
    <row r="4207" spans="9:11" x14ac:dyDescent="0.25">
      <c r="I4207" s="86">
        <v>4206</v>
      </c>
      <c r="J4207" s="87">
        <v>4.7191639108185681</v>
      </c>
      <c r="K4207" s="87">
        <v>9.1603459105666438</v>
      </c>
    </row>
    <row r="4208" spans="9:11" x14ac:dyDescent="0.25">
      <c r="I4208" s="86">
        <v>4207</v>
      </c>
      <c r="J4208" s="87">
        <v>-1.6437241322575202</v>
      </c>
      <c r="K4208" s="87">
        <v>4.3705357102286273</v>
      </c>
    </row>
    <row r="4209" spans="9:11" x14ac:dyDescent="0.25">
      <c r="I4209" s="86">
        <v>4208</v>
      </c>
      <c r="J4209" s="87">
        <v>-1.3817688475164935</v>
      </c>
      <c r="K4209" s="87">
        <v>5.4145384822180658</v>
      </c>
    </row>
    <row r="4210" spans="9:11" x14ac:dyDescent="0.25">
      <c r="I4210" s="86">
        <v>4209</v>
      </c>
      <c r="J4210" s="87">
        <v>0.82832872524436452</v>
      </c>
      <c r="K4210" s="87">
        <v>5.1926375675035636</v>
      </c>
    </row>
    <row r="4211" spans="9:11" x14ac:dyDescent="0.25">
      <c r="I4211" s="86">
        <v>4210</v>
      </c>
      <c r="J4211" s="87">
        <v>2.6476751908459661E-2</v>
      </c>
      <c r="K4211" s="87">
        <v>5.0756077422476933</v>
      </c>
    </row>
    <row r="4212" spans="9:11" x14ac:dyDescent="0.25">
      <c r="I4212" s="86">
        <v>4211</v>
      </c>
      <c r="J4212" s="87">
        <v>-0.95350234472462159</v>
      </c>
      <c r="K4212" s="87">
        <v>5.4384118248976492</v>
      </c>
    </row>
    <row r="4213" spans="9:11" x14ac:dyDescent="0.25">
      <c r="I4213" s="86">
        <v>4212</v>
      </c>
      <c r="J4213" s="87">
        <v>-9.1433061191869669E-2</v>
      </c>
      <c r="K4213" s="87">
        <v>5.1515166901764964</v>
      </c>
    </row>
    <row r="4214" spans="9:11" x14ac:dyDescent="0.25">
      <c r="I4214" s="86">
        <v>4213</v>
      </c>
      <c r="J4214" s="87">
        <v>2.8377760495805644</v>
      </c>
      <c r="K4214" s="87">
        <v>9.505627921324054</v>
      </c>
    </row>
    <row r="4215" spans="9:11" x14ac:dyDescent="0.25">
      <c r="I4215" s="86">
        <v>4214</v>
      </c>
      <c r="J4215" s="87">
        <v>2.1260707355368735</v>
      </c>
      <c r="K4215" s="87">
        <v>8.3418798362968403</v>
      </c>
    </row>
    <row r="4216" spans="9:11" x14ac:dyDescent="0.25">
      <c r="I4216" s="86">
        <v>4215</v>
      </c>
      <c r="J4216" s="87">
        <v>-0.66981666419126906</v>
      </c>
      <c r="K4216" s="87">
        <v>5.2077148464417888</v>
      </c>
    </row>
    <row r="4217" spans="9:11" x14ac:dyDescent="0.25">
      <c r="I4217" s="86">
        <v>4216</v>
      </c>
      <c r="J4217" s="87">
        <v>-0.88062881128072412</v>
      </c>
      <c r="K4217" s="87">
        <v>5.5019239869881913</v>
      </c>
    </row>
    <row r="4218" spans="9:11" x14ac:dyDescent="0.25">
      <c r="I4218" s="86">
        <v>4217</v>
      </c>
      <c r="J4218" s="87">
        <v>2.4215418717405619</v>
      </c>
      <c r="K4218" s="87">
        <v>8.1161377399915509</v>
      </c>
    </row>
    <row r="4219" spans="9:11" x14ac:dyDescent="0.25">
      <c r="I4219" s="86">
        <v>4218</v>
      </c>
      <c r="J4219" s="87">
        <v>-1.2286646413044569</v>
      </c>
      <c r="K4219" s="87">
        <v>5.5496822017565668</v>
      </c>
    </row>
    <row r="4220" spans="9:11" x14ac:dyDescent="0.25">
      <c r="I4220" s="86">
        <v>4219</v>
      </c>
      <c r="J4220" s="87">
        <v>-8.8173182742758094E-2</v>
      </c>
      <c r="K4220" s="87">
        <v>5.9772312026596213</v>
      </c>
    </row>
    <row r="4221" spans="9:11" x14ac:dyDescent="0.25">
      <c r="I4221" s="86">
        <v>4220</v>
      </c>
      <c r="J4221" s="87">
        <v>-0.54808479081575001</v>
      </c>
      <c r="K4221" s="87">
        <v>6.0780717384483225</v>
      </c>
    </row>
    <row r="4222" spans="9:11" x14ac:dyDescent="0.25">
      <c r="I4222" s="86">
        <v>4221</v>
      </c>
      <c r="J4222" s="87">
        <v>1.2932517303736475</v>
      </c>
      <c r="K4222" s="87">
        <v>7.9806118621060884</v>
      </c>
    </row>
    <row r="4223" spans="9:11" x14ac:dyDescent="0.25">
      <c r="I4223" s="86">
        <v>4222</v>
      </c>
      <c r="J4223" s="87">
        <v>1.2738213191994348</v>
      </c>
      <c r="K4223" s="87">
        <v>4.8236683632697712</v>
      </c>
    </row>
    <row r="4224" spans="9:11" x14ac:dyDescent="0.25">
      <c r="I4224" s="86">
        <v>4223</v>
      </c>
      <c r="J4224" s="87">
        <v>1.3669707942513107</v>
      </c>
      <c r="K4224" s="87">
        <v>4.8235079831241627</v>
      </c>
    </row>
    <row r="4225" spans="9:11" x14ac:dyDescent="0.25">
      <c r="I4225" s="86">
        <v>4224</v>
      </c>
      <c r="J4225" s="87">
        <v>1.3501085707107343</v>
      </c>
      <c r="K4225" s="87">
        <v>7.8096022042740518</v>
      </c>
    </row>
    <row r="4226" spans="9:11" x14ac:dyDescent="0.25">
      <c r="I4226" s="86">
        <v>4225</v>
      </c>
      <c r="J4226" s="87">
        <v>1.2232618512770941</v>
      </c>
      <c r="K4226" s="87">
        <v>5.434999209406203</v>
      </c>
    </row>
    <row r="4227" spans="9:11" x14ac:dyDescent="0.25">
      <c r="I4227" s="86">
        <v>4226</v>
      </c>
      <c r="J4227" s="87">
        <v>2.4958925308916147</v>
      </c>
      <c r="K4227" s="87">
        <v>7.4884058053798075</v>
      </c>
    </row>
    <row r="4228" spans="9:11" x14ac:dyDescent="0.25">
      <c r="I4228" s="86">
        <v>4227</v>
      </c>
      <c r="J4228" s="87">
        <v>0.90820354841550044</v>
      </c>
      <c r="K4228" s="87">
        <v>5.8890600611261181</v>
      </c>
    </row>
    <row r="4229" spans="9:11" x14ac:dyDescent="0.25">
      <c r="I4229" s="86">
        <v>4228</v>
      </c>
      <c r="J4229" s="87">
        <v>-0.8207524265347157</v>
      </c>
      <c r="K4229" s="87">
        <v>5.3646297784877737</v>
      </c>
    </row>
    <row r="4230" spans="9:11" x14ac:dyDescent="0.25">
      <c r="I4230" s="86">
        <v>4229</v>
      </c>
      <c r="J4230" s="87">
        <v>1.4606576020438924</v>
      </c>
      <c r="K4230" s="87">
        <v>5.8966818935657628</v>
      </c>
    </row>
    <row r="4231" spans="9:11" x14ac:dyDescent="0.25">
      <c r="I4231" s="86">
        <v>4230</v>
      </c>
      <c r="J4231" s="87">
        <v>-0.36854422393264485</v>
      </c>
      <c r="K4231" s="87">
        <v>5.724452234742337</v>
      </c>
    </row>
    <row r="4232" spans="9:11" x14ac:dyDescent="0.25">
      <c r="I4232" s="86">
        <v>4231</v>
      </c>
      <c r="J4232" s="87">
        <v>1.7786062077243194</v>
      </c>
      <c r="K4232" s="87">
        <v>6.7895448434380725</v>
      </c>
    </row>
    <row r="4233" spans="9:11" x14ac:dyDescent="0.25">
      <c r="I4233" s="86">
        <v>4232</v>
      </c>
      <c r="J4233" s="87">
        <v>-0.97434325749320294</v>
      </c>
      <c r="K4233" s="87">
        <v>6.2470891681685501</v>
      </c>
    </row>
    <row r="4234" spans="9:11" x14ac:dyDescent="0.25">
      <c r="I4234" s="86">
        <v>4233</v>
      </c>
      <c r="J4234" s="87">
        <v>0.92024903967893312</v>
      </c>
      <c r="K4234" s="87">
        <v>8.8695128776571686</v>
      </c>
    </row>
    <row r="4235" spans="9:11" x14ac:dyDescent="0.25">
      <c r="I4235" s="86">
        <v>4234</v>
      </c>
      <c r="J4235" s="87">
        <v>3.8138999150740949</v>
      </c>
      <c r="K4235" s="87">
        <v>7.0591200591486931</v>
      </c>
    </row>
    <row r="4236" spans="9:11" x14ac:dyDescent="0.25">
      <c r="I4236" s="86">
        <v>4235</v>
      </c>
      <c r="J4236" s="87">
        <v>-0.53213807903843335</v>
      </c>
      <c r="K4236" s="87">
        <v>4.9983439368373501</v>
      </c>
    </row>
    <row r="4237" spans="9:11" x14ac:dyDescent="0.25">
      <c r="I4237" s="86">
        <v>4236</v>
      </c>
      <c r="J4237" s="87">
        <v>8.8439616998812198E-2</v>
      </c>
      <c r="K4237" s="87">
        <v>6.226368272316698</v>
      </c>
    </row>
    <row r="4238" spans="9:11" x14ac:dyDescent="0.25">
      <c r="I4238" s="86">
        <v>4237</v>
      </c>
      <c r="J4238" s="87">
        <v>3.7930063930264577</v>
      </c>
      <c r="K4238" s="87">
        <v>10.320182551734726</v>
      </c>
    </row>
    <row r="4239" spans="9:11" x14ac:dyDescent="0.25">
      <c r="I4239" s="86">
        <v>4238</v>
      </c>
      <c r="J4239" s="87">
        <v>2.1251230807494288</v>
      </c>
      <c r="K4239" s="87">
        <v>6.8025375066056979</v>
      </c>
    </row>
    <row r="4240" spans="9:11" x14ac:dyDescent="0.25">
      <c r="I4240" s="86">
        <v>4239</v>
      </c>
      <c r="J4240" s="87">
        <v>0.92977608624146368</v>
      </c>
      <c r="K4240" s="87">
        <v>4.8752464486909499</v>
      </c>
    </row>
    <row r="4241" spans="9:11" x14ac:dyDescent="0.25">
      <c r="I4241" s="86">
        <v>4240</v>
      </c>
      <c r="J4241" s="87">
        <v>5.3319382591689415</v>
      </c>
      <c r="K4241" s="87">
        <v>8.2751273349773999</v>
      </c>
    </row>
    <row r="4242" spans="9:11" x14ac:dyDescent="0.25">
      <c r="I4242" s="86">
        <v>4241</v>
      </c>
      <c r="J4242" s="87">
        <v>2.6481641306978823</v>
      </c>
      <c r="K4242" s="87">
        <v>8.9700130157932705</v>
      </c>
    </row>
    <row r="4243" spans="9:11" x14ac:dyDescent="0.25">
      <c r="I4243" s="86">
        <v>4242</v>
      </c>
      <c r="J4243" s="87">
        <v>-0.71663188165342984</v>
      </c>
      <c r="K4243" s="87">
        <v>5.1967054774422854</v>
      </c>
    </row>
    <row r="4244" spans="9:11" x14ac:dyDescent="0.25">
      <c r="I4244" s="86">
        <v>4243</v>
      </c>
      <c r="J4244" s="87">
        <v>2.1770598045478593</v>
      </c>
      <c r="K4244" s="87">
        <v>6.2633395664696527</v>
      </c>
    </row>
    <row r="4245" spans="9:11" x14ac:dyDescent="0.25">
      <c r="I4245" s="86">
        <v>4244</v>
      </c>
      <c r="J4245" s="87">
        <v>1.822377187637799</v>
      </c>
      <c r="K4245" s="87">
        <v>6.685446859360181</v>
      </c>
    </row>
    <row r="4246" spans="9:11" x14ac:dyDescent="0.25">
      <c r="I4246" s="86">
        <v>4245</v>
      </c>
      <c r="J4246" s="87">
        <v>1.473257817940365</v>
      </c>
      <c r="K4246" s="87">
        <v>5.983209006038865</v>
      </c>
    </row>
    <row r="4247" spans="9:11" x14ac:dyDescent="0.25">
      <c r="I4247" s="86">
        <v>4246</v>
      </c>
      <c r="J4247" s="87">
        <v>-0.8381630712927759</v>
      </c>
      <c r="K4247" s="87">
        <v>5.7105853846480192</v>
      </c>
    </row>
    <row r="4248" spans="9:11" x14ac:dyDescent="0.25">
      <c r="I4248" s="86">
        <v>4247</v>
      </c>
      <c r="J4248" s="87">
        <v>-2.1031980436561071E-3</v>
      </c>
      <c r="K4248" s="87">
        <v>5.0227881996086206</v>
      </c>
    </row>
    <row r="4249" spans="9:11" x14ac:dyDescent="0.25">
      <c r="I4249" s="86">
        <v>4248</v>
      </c>
      <c r="J4249" s="87">
        <v>-1.193237321449466</v>
      </c>
      <c r="K4249" s="87">
        <v>5.3831610303108768</v>
      </c>
    </row>
    <row r="4250" spans="9:11" x14ac:dyDescent="0.25">
      <c r="I4250" s="86">
        <v>4249</v>
      </c>
      <c r="J4250" s="87">
        <v>0.60501344633614895</v>
      </c>
      <c r="K4250" s="87">
        <v>5.5886579070616778</v>
      </c>
    </row>
    <row r="4251" spans="9:11" x14ac:dyDescent="0.25">
      <c r="I4251" s="86">
        <v>4250</v>
      </c>
      <c r="J4251" s="87">
        <v>2.8656046532720829</v>
      </c>
      <c r="K4251" s="87">
        <v>7.7398216113114691</v>
      </c>
    </row>
    <row r="4252" spans="9:11" x14ac:dyDescent="0.25">
      <c r="I4252" s="86">
        <v>4251</v>
      </c>
      <c r="J4252" s="87">
        <v>1.5996745546122177</v>
      </c>
      <c r="K4252" s="87">
        <v>6.3968529662882867</v>
      </c>
    </row>
    <row r="4253" spans="9:11" x14ac:dyDescent="0.25">
      <c r="I4253" s="86">
        <v>4252</v>
      </c>
      <c r="J4253" s="87">
        <v>1.4530209666157043</v>
      </c>
      <c r="K4253" s="87">
        <v>6.7623000042656489</v>
      </c>
    </row>
    <row r="4254" spans="9:11" x14ac:dyDescent="0.25">
      <c r="I4254" s="86">
        <v>4253</v>
      </c>
      <c r="J4254" s="87">
        <v>3.8238499438745919</v>
      </c>
      <c r="K4254" s="87">
        <v>7.0010393553313621</v>
      </c>
    </row>
    <row r="4255" spans="9:11" x14ac:dyDescent="0.25">
      <c r="I4255" s="86">
        <v>4254</v>
      </c>
      <c r="J4255" s="87">
        <v>-1.9856997248467723</v>
      </c>
      <c r="K4255" s="87">
        <v>5.5538682070267011</v>
      </c>
    </row>
    <row r="4256" spans="9:11" x14ac:dyDescent="0.25">
      <c r="I4256" s="86">
        <v>4255</v>
      </c>
      <c r="J4256" s="87">
        <v>6.0367343833807929E-2</v>
      </c>
      <c r="K4256" s="87">
        <v>5.1592500787803379</v>
      </c>
    </row>
    <row r="4257" spans="9:11" x14ac:dyDescent="0.25">
      <c r="I4257" s="86">
        <v>4256</v>
      </c>
      <c r="J4257" s="87">
        <v>6.5599344115885501</v>
      </c>
      <c r="K4257" s="87">
        <v>9.7914429456159393</v>
      </c>
    </row>
    <row r="4258" spans="9:11" x14ac:dyDescent="0.25">
      <c r="I4258" s="86">
        <v>4257</v>
      </c>
      <c r="J4258" s="87">
        <v>0.48262387516674599</v>
      </c>
      <c r="K4258" s="87">
        <v>5.214841143235236</v>
      </c>
    </row>
    <row r="4259" spans="9:11" x14ac:dyDescent="0.25">
      <c r="I4259" s="86">
        <v>4258</v>
      </c>
      <c r="J4259" s="87">
        <v>0.87271567509389669</v>
      </c>
      <c r="K4259" s="87">
        <v>7.5839842990073398</v>
      </c>
    </row>
    <row r="4260" spans="9:11" x14ac:dyDescent="0.25">
      <c r="I4260" s="86">
        <v>4259</v>
      </c>
      <c r="J4260" s="87">
        <v>4.509310639822429</v>
      </c>
      <c r="K4260" s="87">
        <v>10.216067505782821</v>
      </c>
    </row>
    <row r="4261" spans="9:11" x14ac:dyDescent="0.25">
      <c r="I4261" s="86">
        <v>4260</v>
      </c>
      <c r="J4261" s="87">
        <v>3.7725615832723696</v>
      </c>
      <c r="K4261" s="87">
        <v>6.5720041902895581</v>
      </c>
    </row>
    <row r="4262" spans="9:11" x14ac:dyDescent="0.25">
      <c r="I4262" s="86">
        <v>4261</v>
      </c>
      <c r="J4262" s="87">
        <v>2.0564237390477969</v>
      </c>
      <c r="K4262" s="87">
        <v>7.195642265260493</v>
      </c>
    </row>
    <row r="4263" spans="9:11" x14ac:dyDescent="0.25">
      <c r="I4263" s="86">
        <v>4262</v>
      </c>
      <c r="J4263" s="87">
        <v>-1.1712802681691223</v>
      </c>
      <c r="K4263" s="87">
        <v>4.1709171209529554</v>
      </c>
    </row>
    <row r="4264" spans="9:11" x14ac:dyDescent="0.25">
      <c r="I4264" s="86">
        <v>4263</v>
      </c>
      <c r="J4264" s="87">
        <v>1.4605393808452121</v>
      </c>
      <c r="K4264" s="87">
        <v>6.3039175729765713</v>
      </c>
    </row>
    <row r="4265" spans="9:11" x14ac:dyDescent="0.25">
      <c r="I4265" s="86">
        <v>4264</v>
      </c>
      <c r="J4265" s="87">
        <v>0.2979359565073163</v>
      </c>
      <c r="K4265" s="87">
        <v>5.1005784019793836</v>
      </c>
    </row>
    <row r="4266" spans="9:11" x14ac:dyDescent="0.25">
      <c r="I4266" s="86">
        <v>4265</v>
      </c>
      <c r="J4266" s="87">
        <v>-0.27005471678249116</v>
      </c>
      <c r="K4266" s="87">
        <v>4.6313506931885069</v>
      </c>
    </row>
    <row r="4267" spans="9:11" x14ac:dyDescent="0.25">
      <c r="I4267" s="86">
        <v>4266</v>
      </c>
      <c r="J4267" s="87">
        <v>1.9914915268155893</v>
      </c>
      <c r="K4267" s="87">
        <v>5.8064844722561979</v>
      </c>
    </row>
    <row r="4268" spans="9:11" x14ac:dyDescent="0.25">
      <c r="I4268" s="86">
        <v>4267</v>
      </c>
      <c r="J4268" s="87">
        <v>4.7859003900196884</v>
      </c>
      <c r="K4268" s="87">
        <v>8.7774123877119994</v>
      </c>
    </row>
    <row r="4269" spans="9:11" x14ac:dyDescent="0.25">
      <c r="I4269" s="86">
        <v>4268</v>
      </c>
      <c r="J4269" s="87">
        <v>0.95122687235110348</v>
      </c>
      <c r="K4269" s="87">
        <v>5.3055382520006535</v>
      </c>
    </row>
    <row r="4270" spans="9:11" x14ac:dyDescent="0.25">
      <c r="I4270" s="86">
        <v>4269</v>
      </c>
      <c r="J4270" s="87">
        <v>1.6590913540609753</v>
      </c>
      <c r="K4270" s="87">
        <v>6.2875637871930445</v>
      </c>
    </row>
    <row r="4271" spans="9:11" x14ac:dyDescent="0.25">
      <c r="I4271" s="86">
        <v>4270</v>
      </c>
      <c r="J4271" s="87">
        <v>2.6914118253512207</v>
      </c>
      <c r="K4271" s="87">
        <v>7.1350603384863467</v>
      </c>
    </row>
    <row r="4272" spans="9:11" x14ac:dyDescent="0.25">
      <c r="I4272" s="86">
        <v>4271</v>
      </c>
      <c r="J4272" s="87">
        <v>0.43628029897312759</v>
      </c>
      <c r="K4272" s="87">
        <v>4.9612006365444614</v>
      </c>
    </row>
    <row r="4273" spans="9:11" x14ac:dyDescent="0.25">
      <c r="I4273" s="86">
        <v>4272</v>
      </c>
      <c r="J4273" s="87">
        <v>1.8914382683740758</v>
      </c>
      <c r="K4273" s="87">
        <v>6.037959546623795</v>
      </c>
    </row>
    <row r="4274" spans="9:11" x14ac:dyDescent="0.25">
      <c r="I4274" s="86">
        <v>4273</v>
      </c>
      <c r="J4274" s="87">
        <v>1.80713896040767</v>
      </c>
      <c r="K4274" s="87">
        <v>6.2136523369919434</v>
      </c>
    </row>
    <row r="4275" spans="9:11" x14ac:dyDescent="0.25">
      <c r="I4275" s="86">
        <v>4274</v>
      </c>
      <c r="J4275" s="87">
        <v>0.46784618601174266</v>
      </c>
      <c r="K4275" s="87">
        <v>6.8250272901677365</v>
      </c>
    </row>
    <row r="4276" spans="9:11" x14ac:dyDescent="0.25">
      <c r="I4276" s="86">
        <v>4275</v>
      </c>
      <c r="J4276" s="87">
        <v>2.2482366583844087</v>
      </c>
      <c r="K4276" s="87">
        <v>8.8630666007894838</v>
      </c>
    </row>
    <row r="4277" spans="9:11" x14ac:dyDescent="0.25">
      <c r="I4277" s="86">
        <v>4276</v>
      </c>
      <c r="J4277" s="87">
        <v>16.407513307703791</v>
      </c>
      <c r="K4277" s="87">
        <v>14.386005588766793</v>
      </c>
    </row>
    <row r="4278" spans="9:11" x14ac:dyDescent="0.25">
      <c r="I4278" s="86">
        <v>4277</v>
      </c>
      <c r="J4278" s="87">
        <v>0.69181674203900467</v>
      </c>
      <c r="K4278" s="87">
        <v>5.9925230652330246</v>
      </c>
    </row>
    <row r="4279" spans="9:11" x14ac:dyDescent="0.25">
      <c r="I4279" s="86">
        <v>4278</v>
      </c>
      <c r="J4279" s="87">
        <v>0.31477217317038253</v>
      </c>
      <c r="K4279" s="87">
        <v>5.9029521389021147</v>
      </c>
    </row>
    <row r="4280" spans="9:11" x14ac:dyDescent="0.25">
      <c r="I4280" s="86">
        <v>4279</v>
      </c>
      <c r="J4280" s="87">
        <v>2.5734481436006291</v>
      </c>
      <c r="K4280" s="87">
        <v>7.2038963873639394</v>
      </c>
    </row>
    <row r="4281" spans="9:11" x14ac:dyDescent="0.25">
      <c r="I4281" s="86">
        <v>4280</v>
      </c>
      <c r="J4281" s="87">
        <v>12.230043280481954</v>
      </c>
      <c r="K4281" s="87">
        <v>13.366797868262163</v>
      </c>
    </row>
    <row r="4282" spans="9:11" x14ac:dyDescent="0.25">
      <c r="I4282" s="86">
        <v>4281</v>
      </c>
      <c r="J4282" s="87">
        <v>4.4289810713340216</v>
      </c>
      <c r="K4282" s="87">
        <v>6.9975106728050003</v>
      </c>
    </row>
    <row r="4283" spans="9:11" x14ac:dyDescent="0.25">
      <c r="I4283" s="86">
        <v>4282</v>
      </c>
      <c r="J4283" s="87">
        <v>-1.4405199899721057</v>
      </c>
      <c r="K4283" s="87">
        <v>4.6127262369088902</v>
      </c>
    </row>
    <row r="4284" spans="9:11" x14ac:dyDescent="0.25">
      <c r="I4284" s="86">
        <v>4283</v>
      </c>
      <c r="J4284" s="87">
        <v>-0.43458123183331621</v>
      </c>
      <c r="K4284" s="87">
        <v>4.7534242021212503</v>
      </c>
    </row>
    <row r="4285" spans="9:11" x14ac:dyDescent="0.25">
      <c r="I4285" s="86">
        <v>4284</v>
      </c>
      <c r="J4285" s="87">
        <v>0.3291326840684059</v>
      </c>
      <c r="K4285" s="87">
        <v>5.8223624271798187</v>
      </c>
    </row>
    <row r="4286" spans="9:11" x14ac:dyDescent="0.25">
      <c r="I4286" s="86">
        <v>4285</v>
      </c>
      <c r="J4286" s="87">
        <v>0.9979332177353033</v>
      </c>
      <c r="K4286" s="87">
        <v>5.2023490682457671</v>
      </c>
    </row>
    <row r="4287" spans="9:11" x14ac:dyDescent="0.25">
      <c r="I4287" s="86">
        <v>4286</v>
      </c>
      <c r="J4287" s="87">
        <v>0.10437881715409958</v>
      </c>
      <c r="K4287" s="87">
        <v>5.4672289967759493</v>
      </c>
    </row>
    <row r="4288" spans="9:11" x14ac:dyDescent="0.25">
      <c r="I4288" s="86">
        <v>4287</v>
      </c>
      <c r="J4288" s="87">
        <v>0.24985439967528622</v>
      </c>
      <c r="K4288" s="87">
        <v>4.9286327327966184</v>
      </c>
    </row>
    <row r="4289" spans="9:11" x14ac:dyDescent="0.25">
      <c r="I4289" s="86">
        <v>4288</v>
      </c>
      <c r="J4289" s="87">
        <v>0.71377362348309248</v>
      </c>
      <c r="K4289" s="87">
        <v>6.4109868063586468</v>
      </c>
    </row>
    <row r="4290" spans="9:11" x14ac:dyDescent="0.25">
      <c r="I4290" s="86">
        <v>4289</v>
      </c>
      <c r="J4290" s="87">
        <v>4.2271665237517286</v>
      </c>
      <c r="K4290" s="87">
        <v>8.9531732328739579</v>
      </c>
    </row>
    <row r="4291" spans="9:11" x14ac:dyDescent="0.25">
      <c r="I4291" s="86">
        <v>4290</v>
      </c>
      <c r="J4291" s="87">
        <v>2.6440756021464837</v>
      </c>
      <c r="K4291" s="87">
        <v>8.6512809578931122</v>
      </c>
    </row>
    <row r="4292" spans="9:11" x14ac:dyDescent="0.25">
      <c r="I4292" s="86">
        <v>4291</v>
      </c>
      <c r="J4292" s="87">
        <v>6.5650215554343809</v>
      </c>
      <c r="K4292" s="87">
        <v>10.075509795493218</v>
      </c>
    </row>
    <row r="4293" spans="9:11" x14ac:dyDescent="0.25">
      <c r="I4293" s="86">
        <v>4292</v>
      </c>
      <c r="J4293" s="87">
        <v>3.8804661001479985</v>
      </c>
      <c r="K4293" s="87">
        <v>8.2615340647581892</v>
      </c>
    </row>
    <row r="4294" spans="9:11" x14ac:dyDescent="0.25">
      <c r="I4294" s="86">
        <v>4293</v>
      </c>
      <c r="J4294" s="87">
        <v>1.6747830553654426</v>
      </c>
      <c r="K4294" s="87">
        <v>7.5656007259791025</v>
      </c>
    </row>
    <row r="4295" spans="9:11" x14ac:dyDescent="0.25">
      <c r="I4295" s="86">
        <v>4294</v>
      </c>
      <c r="J4295" s="87">
        <v>2.4018952567648171</v>
      </c>
      <c r="K4295" s="87">
        <v>9.4632341997513141</v>
      </c>
    </row>
    <row r="4296" spans="9:11" x14ac:dyDescent="0.25">
      <c r="I4296" s="86">
        <v>4295</v>
      </c>
      <c r="J4296" s="87">
        <v>2.0792750430399014</v>
      </c>
      <c r="K4296" s="87">
        <v>6.4761719303390981</v>
      </c>
    </row>
    <row r="4297" spans="9:11" x14ac:dyDescent="0.25">
      <c r="I4297" s="86">
        <v>4296</v>
      </c>
      <c r="J4297" s="87">
        <v>4.9636194236362403</v>
      </c>
      <c r="K4297" s="87">
        <v>8.0278277890633518</v>
      </c>
    </row>
    <row r="4298" spans="9:11" x14ac:dyDescent="0.25">
      <c r="I4298" s="86">
        <v>4297</v>
      </c>
      <c r="J4298" s="87">
        <v>1.8833974791728449</v>
      </c>
      <c r="K4298" s="87">
        <v>5.9045750766113523</v>
      </c>
    </row>
    <row r="4299" spans="9:11" x14ac:dyDescent="0.25">
      <c r="I4299" s="86">
        <v>4298</v>
      </c>
      <c r="J4299" s="87">
        <v>1.5915099516278808</v>
      </c>
      <c r="K4299" s="87">
        <v>5.7360856955977431</v>
      </c>
    </row>
    <row r="4300" spans="9:11" x14ac:dyDescent="0.25">
      <c r="I4300" s="86">
        <v>4299</v>
      </c>
      <c r="J4300" s="87">
        <v>2.377417257499407</v>
      </c>
      <c r="K4300" s="87">
        <v>9.0480380258763624</v>
      </c>
    </row>
    <row r="4301" spans="9:11" x14ac:dyDescent="0.25">
      <c r="I4301" s="86">
        <v>4300</v>
      </c>
      <c r="J4301" s="87">
        <v>1.4152891757137844</v>
      </c>
      <c r="K4301" s="87">
        <v>6.823053971271694</v>
      </c>
    </row>
    <row r="4302" spans="9:11" x14ac:dyDescent="0.25">
      <c r="I4302" s="86">
        <v>4301</v>
      </c>
      <c r="J4302" s="87">
        <v>0.93193144270282957</v>
      </c>
      <c r="K4302" s="87">
        <v>7.5096683181341337</v>
      </c>
    </row>
    <row r="4303" spans="9:11" x14ac:dyDescent="0.25">
      <c r="I4303" s="86">
        <v>4302</v>
      </c>
      <c r="J4303" s="87">
        <v>4.0001425826056547</v>
      </c>
      <c r="K4303" s="87">
        <v>8.2351282819729601</v>
      </c>
    </row>
    <row r="4304" spans="9:11" x14ac:dyDescent="0.25">
      <c r="I4304" s="86">
        <v>4303</v>
      </c>
      <c r="J4304" s="87">
        <v>1.8946612092699429</v>
      </c>
      <c r="K4304" s="87">
        <v>7.8365317393708258</v>
      </c>
    </row>
    <row r="4305" spans="9:11" x14ac:dyDescent="0.25">
      <c r="I4305" s="86">
        <v>4304</v>
      </c>
      <c r="J4305" s="87">
        <v>2.0089370748723203</v>
      </c>
      <c r="K4305" s="87">
        <v>8.82865470875287</v>
      </c>
    </row>
    <row r="4306" spans="9:11" x14ac:dyDescent="0.25">
      <c r="I4306" s="86">
        <v>4305</v>
      </c>
      <c r="J4306" s="87">
        <v>-0.13678035994897009</v>
      </c>
      <c r="K4306" s="87">
        <v>5.882575122470552</v>
      </c>
    </row>
    <row r="4307" spans="9:11" x14ac:dyDescent="0.25">
      <c r="I4307" s="86">
        <v>4306</v>
      </c>
      <c r="J4307" s="87">
        <v>2.273468428240438</v>
      </c>
      <c r="K4307" s="87">
        <v>9.9093773499146049</v>
      </c>
    </row>
    <row r="4308" spans="9:11" x14ac:dyDescent="0.25">
      <c r="I4308" s="86">
        <v>4307</v>
      </c>
      <c r="J4308" s="87">
        <v>-2.8051271682969947E-2</v>
      </c>
      <c r="K4308" s="87">
        <v>6.1327798060596228</v>
      </c>
    </row>
    <row r="4309" spans="9:11" x14ac:dyDescent="0.25">
      <c r="I4309" s="86">
        <v>4308</v>
      </c>
      <c r="J4309" s="87">
        <v>-0.91780179278751373</v>
      </c>
      <c r="K4309" s="87">
        <v>4.9054550032178978</v>
      </c>
    </row>
    <row r="4310" spans="9:11" x14ac:dyDescent="0.25">
      <c r="I4310" s="86">
        <v>4309</v>
      </c>
      <c r="J4310" s="87">
        <v>0.7950899218177252</v>
      </c>
      <c r="K4310" s="87">
        <v>5.9473096646548393</v>
      </c>
    </row>
    <row r="4311" spans="9:11" x14ac:dyDescent="0.25">
      <c r="I4311" s="86">
        <v>4310</v>
      </c>
      <c r="J4311" s="87">
        <v>0.52932276830316738</v>
      </c>
      <c r="K4311" s="87">
        <v>4.9326153050510353</v>
      </c>
    </row>
    <row r="4312" spans="9:11" x14ac:dyDescent="0.25">
      <c r="I4312" s="86">
        <v>4311</v>
      </c>
      <c r="J4312" s="87">
        <v>1.6248163537561835</v>
      </c>
      <c r="K4312" s="87">
        <v>6.763846015684928</v>
      </c>
    </row>
    <row r="4313" spans="9:11" x14ac:dyDescent="0.25">
      <c r="I4313" s="86">
        <v>4312</v>
      </c>
      <c r="J4313" s="87">
        <v>-0.86018443860414351</v>
      </c>
      <c r="K4313" s="87">
        <v>5.428871537689302</v>
      </c>
    </row>
    <row r="4314" spans="9:11" x14ac:dyDescent="0.25">
      <c r="I4314" s="86">
        <v>4313</v>
      </c>
      <c r="J4314" s="87">
        <v>1.1159523339608493</v>
      </c>
      <c r="K4314" s="87">
        <v>7.637600735287811</v>
      </c>
    </row>
    <row r="4315" spans="9:11" x14ac:dyDescent="0.25">
      <c r="I4315" s="86">
        <v>4314</v>
      </c>
      <c r="J4315" s="87">
        <v>4.3758971696615898</v>
      </c>
      <c r="K4315" s="87">
        <v>8.727565545439548</v>
      </c>
    </row>
    <row r="4316" spans="9:11" x14ac:dyDescent="0.25">
      <c r="I4316" s="86">
        <v>4315</v>
      </c>
      <c r="J4316" s="87">
        <v>0.80000483091747121</v>
      </c>
      <c r="K4316" s="87">
        <v>6.6854482650618259</v>
      </c>
    </row>
    <row r="4317" spans="9:11" x14ac:dyDescent="0.25">
      <c r="I4317" s="86">
        <v>4316</v>
      </c>
      <c r="J4317" s="87">
        <v>2.0338549429366024</v>
      </c>
      <c r="K4317" s="87">
        <v>6.8610759497775327</v>
      </c>
    </row>
    <row r="4318" spans="9:11" x14ac:dyDescent="0.25">
      <c r="I4318" s="86">
        <v>4317</v>
      </c>
      <c r="J4318" s="87">
        <v>1.330555382214456</v>
      </c>
      <c r="K4318" s="87">
        <v>5.933196649280597</v>
      </c>
    </row>
    <row r="4319" spans="9:11" x14ac:dyDescent="0.25">
      <c r="I4319" s="86">
        <v>4318</v>
      </c>
      <c r="J4319" s="87">
        <v>4.273120470785301</v>
      </c>
      <c r="K4319" s="87">
        <v>10.933726173371555</v>
      </c>
    </row>
    <row r="4320" spans="9:11" x14ac:dyDescent="0.25">
      <c r="I4320" s="86">
        <v>4319</v>
      </c>
      <c r="J4320" s="87">
        <v>1.3045302296381109</v>
      </c>
      <c r="K4320" s="87">
        <v>7.5136635530820373</v>
      </c>
    </row>
    <row r="4321" spans="9:11" x14ac:dyDescent="0.25">
      <c r="I4321" s="86">
        <v>4320</v>
      </c>
      <c r="J4321" s="87">
        <v>1.1774682267908139</v>
      </c>
      <c r="K4321" s="87">
        <v>6.4855084118157018</v>
      </c>
    </row>
    <row r="4322" spans="9:11" x14ac:dyDescent="0.25">
      <c r="I4322" s="86">
        <v>4321</v>
      </c>
      <c r="J4322" s="87">
        <v>2.5793076458730768</v>
      </c>
      <c r="K4322" s="87">
        <v>6.7002157260076487</v>
      </c>
    </row>
    <row r="4323" spans="9:11" x14ac:dyDescent="0.25">
      <c r="I4323" s="86">
        <v>4322</v>
      </c>
      <c r="J4323" s="87">
        <v>3.6102198244170252</v>
      </c>
      <c r="K4323" s="87">
        <v>7.77368875364352</v>
      </c>
    </row>
    <row r="4324" spans="9:11" x14ac:dyDescent="0.25">
      <c r="I4324" s="86">
        <v>4323</v>
      </c>
      <c r="J4324" s="87">
        <v>5.5853337140777217</v>
      </c>
      <c r="K4324" s="87">
        <v>9.1379581386605704</v>
      </c>
    </row>
    <row r="4325" spans="9:11" x14ac:dyDescent="0.25">
      <c r="I4325" s="86">
        <v>4324</v>
      </c>
      <c r="J4325" s="87">
        <v>4.79418157925166</v>
      </c>
      <c r="K4325" s="87">
        <v>8.2968733824611327</v>
      </c>
    </row>
    <row r="4326" spans="9:11" x14ac:dyDescent="0.25">
      <c r="I4326" s="86">
        <v>4325</v>
      </c>
      <c r="J4326" s="87">
        <v>1.1360826213905497</v>
      </c>
      <c r="K4326" s="87">
        <v>7.911480288686116</v>
      </c>
    </row>
    <row r="4327" spans="9:11" x14ac:dyDescent="0.25">
      <c r="I4327" s="86">
        <v>4326</v>
      </c>
      <c r="J4327" s="87">
        <v>2.1348647725158179</v>
      </c>
      <c r="K4327" s="87">
        <v>6.2056085734813031</v>
      </c>
    </row>
    <row r="4328" spans="9:11" x14ac:dyDescent="0.25">
      <c r="I4328" s="86">
        <v>4327</v>
      </c>
      <c r="J4328" s="87">
        <v>2.380397881884905</v>
      </c>
      <c r="K4328" s="87">
        <v>7.8854816464296249</v>
      </c>
    </row>
    <row r="4329" spans="9:11" x14ac:dyDescent="0.25">
      <c r="I4329" s="86">
        <v>4328</v>
      </c>
      <c r="J4329" s="87">
        <v>0.25549347346004225</v>
      </c>
      <c r="K4329" s="87">
        <v>5.4400548475551842</v>
      </c>
    </row>
    <row r="4330" spans="9:11" x14ac:dyDescent="0.25">
      <c r="I4330" s="86">
        <v>4329</v>
      </c>
      <c r="J4330" s="87">
        <v>0.25293624786734803</v>
      </c>
      <c r="K4330" s="87">
        <v>5.1745155306229647</v>
      </c>
    </row>
    <row r="4331" spans="9:11" x14ac:dyDescent="0.25">
      <c r="I4331" s="86">
        <v>4330</v>
      </c>
      <c r="J4331" s="87">
        <v>1.7854066070435364</v>
      </c>
      <c r="K4331" s="87">
        <v>8.7654011946096517</v>
      </c>
    </row>
    <row r="4332" spans="9:11" x14ac:dyDescent="0.25">
      <c r="I4332" s="86">
        <v>4331</v>
      </c>
      <c r="J4332" s="87">
        <v>2.3545950576731638</v>
      </c>
      <c r="K4332" s="87">
        <v>8.5984177207274399</v>
      </c>
    </row>
    <row r="4333" spans="9:11" x14ac:dyDescent="0.25">
      <c r="I4333" s="86">
        <v>4332</v>
      </c>
      <c r="J4333" s="87">
        <v>1.5049762209256539</v>
      </c>
      <c r="K4333" s="87">
        <v>6.4674493480361024</v>
      </c>
    </row>
    <row r="4334" spans="9:11" x14ac:dyDescent="0.25">
      <c r="I4334" s="86">
        <v>4333</v>
      </c>
      <c r="J4334" s="87">
        <v>0.73060604498573767</v>
      </c>
      <c r="K4334" s="87">
        <v>7.6121267483335853</v>
      </c>
    </row>
    <row r="4335" spans="9:11" x14ac:dyDescent="0.25">
      <c r="I4335" s="86">
        <v>4334</v>
      </c>
      <c r="J4335" s="87">
        <v>1.3933330393104493</v>
      </c>
      <c r="K4335" s="87">
        <v>6.4976060443488208</v>
      </c>
    </row>
    <row r="4336" spans="9:11" x14ac:dyDescent="0.25">
      <c r="I4336" s="86">
        <v>4335</v>
      </c>
      <c r="J4336" s="87">
        <v>0.69053499811106889</v>
      </c>
      <c r="K4336" s="87">
        <v>6.1432875646967595</v>
      </c>
    </row>
    <row r="4337" spans="9:11" x14ac:dyDescent="0.25">
      <c r="I4337" s="86">
        <v>4336</v>
      </c>
      <c r="J4337" s="87">
        <v>1.2608881837469998</v>
      </c>
      <c r="K4337" s="87">
        <v>5.9737913098219808</v>
      </c>
    </row>
    <row r="4338" spans="9:11" x14ac:dyDescent="0.25">
      <c r="I4338" s="86">
        <v>4337</v>
      </c>
      <c r="J4338" s="87">
        <v>1.5396249256814691</v>
      </c>
      <c r="K4338" s="87">
        <v>7.2761738437690155</v>
      </c>
    </row>
    <row r="4339" spans="9:11" x14ac:dyDescent="0.25">
      <c r="I4339" s="86">
        <v>4338</v>
      </c>
      <c r="J4339" s="87">
        <v>0.47409978685833698</v>
      </c>
      <c r="K4339" s="87">
        <v>4.9484508627618409</v>
      </c>
    </row>
    <row r="4340" spans="9:11" x14ac:dyDescent="0.25">
      <c r="I4340" s="86">
        <v>4339</v>
      </c>
      <c r="J4340" s="87">
        <v>3.5045248528231401</v>
      </c>
      <c r="K4340" s="87">
        <v>8.1921124315809681</v>
      </c>
    </row>
    <row r="4341" spans="9:11" x14ac:dyDescent="0.25">
      <c r="I4341" s="86">
        <v>4340</v>
      </c>
      <c r="J4341" s="87">
        <v>0.42110898731546431</v>
      </c>
      <c r="K4341" s="87">
        <v>5.421972270417073</v>
      </c>
    </row>
    <row r="4342" spans="9:11" x14ac:dyDescent="0.25">
      <c r="I4342" s="86">
        <v>4341</v>
      </c>
      <c r="J4342" s="87">
        <v>1.753985981603738</v>
      </c>
      <c r="K4342" s="87">
        <v>7.8071418387089198</v>
      </c>
    </row>
    <row r="4343" spans="9:11" x14ac:dyDescent="0.25">
      <c r="I4343" s="86">
        <v>4342</v>
      </c>
      <c r="J4343" s="87">
        <v>1.3517319363301725</v>
      </c>
      <c r="K4343" s="87">
        <v>7.0878525272991917</v>
      </c>
    </row>
    <row r="4344" spans="9:11" x14ac:dyDescent="0.25">
      <c r="I4344" s="86">
        <v>4343</v>
      </c>
      <c r="J4344" s="87">
        <v>3.0841723322621366</v>
      </c>
      <c r="K4344" s="87">
        <v>7.9724705666439126</v>
      </c>
    </row>
    <row r="4345" spans="9:11" x14ac:dyDescent="0.25">
      <c r="I4345" s="86">
        <v>4344</v>
      </c>
      <c r="J4345" s="87">
        <v>3.6026001240818388</v>
      </c>
      <c r="K4345" s="87">
        <v>8.1763126767362024</v>
      </c>
    </row>
    <row r="4346" spans="9:11" x14ac:dyDescent="0.25">
      <c r="I4346" s="86">
        <v>4345</v>
      </c>
      <c r="J4346" s="87">
        <v>1.6481875756464319</v>
      </c>
      <c r="K4346" s="87">
        <v>5.1852005100602128</v>
      </c>
    </row>
    <row r="4347" spans="9:11" x14ac:dyDescent="0.25">
      <c r="I4347" s="86">
        <v>4346</v>
      </c>
      <c r="J4347" s="87">
        <v>1.8958476066211105</v>
      </c>
      <c r="K4347" s="87">
        <v>6.1576872271883349</v>
      </c>
    </row>
    <row r="4348" spans="9:11" x14ac:dyDescent="0.25">
      <c r="I4348" s="86">
        <v>4347</v>
      </c>
      <c r="J4348" s="87">
        <v>1.0188908328596735</v>
      </c>
      <c r="K4348" s="87">
        <v>6.3880636808852547</v>
      </c>
    </row>
    <row r="4349" spans="9:11" x14ac:dyDescent="0.25">
      <c r="I4349" s="86">
        <v>4348</v>
      </c>
      <c r="J4349" s="87">
        <v>1.7809773643016396</v>
      </c>
      <c r="K4349" s="87">
        <v>6.5015267615219994</v>
      </c>
    </row>
    <row r="4350" spans="9:11" x14ac:dyDescent="0.25">
      <c r="I4350" s="86">
        <v>4349</v>
      </c>
      <c r="J4350" s="87">
        <v>2.2502166529467873</v>
      </c>
      <c r="K4350" s="87">
        <v>10.777818315956148</v>
      </c>
    </row>
    <row r="4351" spans="9:11" x14ac:dyDescent="0.25">
      <c r="I4351" s="86">
        <v>4350</v>
      </c>
      <c r="J4351" s="87">
        <v>3.8440240466469504</v>
      </c>
      <c r="K4351" s="87">
        <v>9.8675735471823849</v>
      </c>
    </row>
    <row r="4352" spans="9:11" x14ac:dyDescent="0.25">
      <c r="I4352" s="86">
        <v>4351</v>
      </c>
      <c r="J4352" s="87">
        <v>-0.54455033049142898</v>
      </c>
      <c r="K4352" s="87">
        <v>6.5518539857424294</v>
      </c>
    </row>
    <row r="4353" spans="9:11" x14ac:dyDescent="0.25">
      <c r="I4353" s="86">
        <v>4352</v>
      </c>
      <c r="J4353" s="87">
        <v>9.9419774945847372</v>
      </c>
      <c r="K4353" s="87">
        <v>9.178719012191463</v>
      </c>
    </row>
    <row r="4354" spans="9:11" x14ac:dyDescent="0.25">
      <c r="I4354" s="86">
        <v>4353</v>
      </c>
      <c r="J4354" s="87">
        <v>0.40288517222571985</v>
      </c>
      <c r="K4354" s="87">
        <v>5.215917579505196</v>
      </c>
    </row>
    <row r="4355" spans="9:11" x14ac:dyDescent="0.25">
      <c r="I4355" s="86">
        <v>4354</v>
      </c>
      <c r="J4355" s="87">
        <v>1.1660621490585101</v>
      </c>
      <c r="K4355" s="87">
        <v>5.7536569767570791</v>
      </c>
    </row>
    <row r="4356" spans="9:11" x14ac:dyDescent="0.25">
      <c r="I4356" s="86">
        <v>4355</v>
      </c>
      <c r="J4356" s="87">
        <v>-0.52109774990590285</v>
      </c>
      <c r="K4356" s="87">
        <v>6.1889864516719122</v>
      </c>
    </row>
    <row r="4357" spans="9:11" x14ac:dyDescent="0.25">
      <c r="I4357" s="86">
        <v>4356</v>
      </c>
      <c r="J4357" s="87">
        <v>-0.51770527759388951</v>
      </c>
      <c r="K4357" s="87">
        <v>4.7912671473058133</v>
      </c>
    </row>
    <row r="4358" spans="9:11" x14ac:dyDescent="0.25">
      <c r="I4358" s="86">
        <v>4357</v>
      </c>
      <c r="J4358" s="87">
        <v>1.8548261814858362</v>
      </c>
      <c r="K4358" s="87">
        <v>10.306629872821905</v>
      </c>
    </row>
    <row r="4359" spans="9:11" x14ac:dyDescent="0.25">
      <c r="I4359" s="86">
        <v>4358</v>
      </c>
      <c r="J4359" s="87">
        <v>-0.14982446658233961</v>
      </c>
      <c r="K4359" s="87">
        <v>4.4888897443200531</v>
      </c>
    </row>
    <row r="4360" spans="9:11" x14ac:dyDescent="0.25">
      <c r="I4360" s="86">
        <v>4359</v>
      </c>
      <c r="J4360" s="87">
        <v>-1.8996944121517423</v>
      </c>
      <c r="K4360" s="87">
        <v>4.6629886799630738</v>
      </c>
    </row>
    <row r="4361" spans="9:11" x14ac:dyDescent="0.25">
      <c r="I4361" s="86">
        <v>4360</v>
      </c>
      <c r="J4361" s="87">
        <v>2.1942837935211772</v>
      </c>
      <c r="K4361" s="87">
        <v>7.3625709372677575</v>
      </c>
    </row>
    <row r="4362" spans="9:11" x14ac:dyDescent="0.25">
      <c r="I4362" s="86">
        <v>4361</v>
      </c>
      <c r="J4362" s="87">
        <v>0.10380838041927287</v>
      </c>
      <c r="K4362" s="87">
        <v>6.0485793675615698</v>
      </c>
    </row>
    <row r="4363" spans="9:11" x14ac:dyDescent="0.25">
      <c r="I4363" s="86">
        <v>4362</v>
      </c>
      <c r="J4363" s="87">
        <v>7.5452695329534691E-2</v>
      </c>
      <c r="K4363" s="87">
        <v>5.9170867358775423</v>
      </c>
    </row>
    <row r="4364" spans="9:11" x14ac:dyDescent="0.25">
      <c r="I4364" s="86">
        <v>4363</v>
      </c>
      <c r="J4364" s="87">
        <v>0.33976249888688148</v>
      </c>
      <c r="K4364" s="87">
        <v>6.834755490297157</v>
      </c>
    </row>
    <row r="4365" spans="9:11" x14ac:dyDescent="0.25">
      <c r="I4365" s="86">
        <v>4364</v>
      </c>
      <c r="J4365" s="87">
        <v>0.11938549637947826</v>
      </c>
      <c r="K4365" s="87">
        <v>5.4237962212111457</v>
      </c>
    </row>
    <row r="4366" spans="9:11" x14ac:dyDescent="0.25">
      <c r="I4366" s="86">
        <v>4365</v>
      </c>
      <c r="J4366" s="87">
        <v>1.3623318253314318</v>
      </c>
      <c r="K4366" s="87">
        <v>6.8809999818013896</v>
      </c>
    </row>
    <row r="4367" spans="9:11" x14ac:dyDescent="0.25">
      <c r="I4367" s="86">
        <v>4366</v>
      </c>
      <c r="J4367" s="87">
        <v>3.0834137452280528</v>
      </c>
      <c r="K4367" s="87">
        <v>8.1759904476496921</v>
      </c>
    </row>
    <row r="4368" spans="9:11" x14ac:dyDescent="0.25">
      <c r="I4368" s="86">
        <v>4367</v>
      </c>
      <c r="J4368" s="87">
        <v>-0.27738301238299545</v>
      </c>
      <c r="K4368" s="87">
        <v>5.0216330373319371</v>
      </c>
    </row>
    <row r="4369" spans="9:11" x14ac:dyDescent="0.25">
      <c r="I4369" s="86">
        <v>4368</v>
      </c>
      <c r="J4369" s="87">
        <v>-1.195391330387948</v>
      </c>
      <c r="K4369" s="87">
        <v>6.7056123679098203</v>
      </c>
    </row>
    <row r="4370" spans="9:11" x14ac:dyDescent="0.25">
      <c r="I4370" s="86">
        <v>4369</v>
      </c>
      <c r="J4370" s="87">
        <v>2.7769765049422084</v>
      </c>
      <c r="K4370" s="87">
        <v>6.8770245410001438</v>
      </c>
    </row>
    <row r="4371" spans="9:11" x14ac:dyDescent="0.25">
      <c r="I4371" s="86">
        <v>4370</v>
      </c>
      <c r="J4371" s="87">
        <v>1.2130603916318021</v>
      </c>
      <c r="K4371" s="87">
        <v>6.3945955133015788</v>
      </c>
    </row>
    <row r="4372" spans="9:11" x14ac:dyDescent="0.25">
      <c r="I4372" s="86">
        <v>4371</v>
      </c>
      <c r="J4372" s="87">
        <v>0.53049128921253708</v>
      </c>
      <c r="K4372" s="87">
        <v>6.3088104623680206</v>
      </c>
    </row>
    <row r="4373" spans="9:11" x14ac:dyDescent="0.25">
      <c r="I4373" s="86">
        <v>4372</v>
      </c>
      <c r="J4373" s="87">
        <v>-1.65995541568223</v>
      </c>
      <c r="K4373" s="87">
        <v>5.8301851175496395</v>
      </c>
    </row>
    <row r="4374" spans="9:11" x14ac:dyDescent="0.25">
      <c r="I4374" s="86">
        <v>4373</v>
      </c>
      <c r="J4374" s="87">
        <v>0.20526017150631581</v>
      </c>
      <c r="K4374" s="87">
        <v>5.5875963752677711</v>
      </c>
    </row>
    <row r="4375" spans="9:11" x14ac:dyDescent="0.25">
      <c r="I4375" s="86">
        <v>4374</v>
      </c>
      <c r="J4375" s="87">
        <v>4.5169992498375002</v>
      </c>
      <c r="K4375" s="87">
        <v>8.2467224954517544</v>
      </c>
    </row>
    <row r="4376" spans="9:11" x14ac:dyDescent="0.25">
      <c r="I4376" s="86">
        <v>4375</v>
      </c>
      <c r="J4376" s="87">
        <v>-0.12477548046916986</v>
      </c>
      <c r="K4376" s="87">
        <v>4.7174695043847397</v>
      </c>
    </row>
    <row r="4377" spans="9:11" x14ac:dyDescent="0.25">
      <c r="I4377" s="86">
        <v>4376</v>
      </c>
      <c r="J4377" s="87">
        <v>1.0508744807908172</v>
      </c>
      <c r="K4377" s="87">
        <v>7.3284422131532043</v>
      </c>
    </row>
    <row r="4378" spans="9:11" x14ac:dyDescent="0.25">
      <c r="I4378" s="86">
        <v>4377</v>
      </c>
      <c r="J4378" s="87">
        <v>0.65698503128160013</v>
      </c>
      <c r="K4378" s="87">
        <v>6.216135747102693</v>
      </c>
    </row>
    <row r="4379" spans="9:11" x14ac:dyDescent="0.25">
      <c r="I4379" s="86">
        <v>4378</v>
      </c>
      <c r="J4379" s="87">
        <v>-1.2261061864302274</v>
      </c>
      <c r="K4379" s="87">
        <v>5.5156504916876861</v>
      </c>
    </row>
    <row r="4380" spans="9:11" x14ac:dyDescent="0.25">
      <c r="I4380" s="86">
        <v>4379</v>
      </c>
      <c r="J4380" s="87">
        <v>2.3789793572448223</v>
      </c>
      <c r="K4380" s="87">
        <v>6.1627411496851163</v>
      </c>
    </row>
    <row r="4381" spans="9:11" x14ac:dyDescent="0.25">
      <c r="I4381" s="86">
        <v>4380</v>
      </c>
      <c r="J4381" s="87">
        <v>2.6786073427436685</v>
      </c>
      <c r="K4381" s="87">
        <v>6.4619244609771966</v>
      </c>
    </row>
    <row r="4382" spans="9:11" x14ac:dyDescent="0.25">
      <c r="I4382" s="86">
        <v>4381</v>
      </c>
      <c r="J4382" s="87">
        <v>0.20780732691213455</v>
      </c>
      <c r="K4382" s="87">
        <v>5.7598885231665902</v>
      </c>
    </row>
    <row r="4383" spans="9:11" x14ac:dyDescent="0.25">
      <c r="I4383" s="86">
        <v>4382</v>
      </c>
      <c r="J4383" s="87">
        <v>1.4832523474621926</v>
      </c>
      <c r="K4383" s="87">
        <v>7.9529020121935732</v>
      </c>
    </row>
    <row r="4384" spans="9:11" x14ac:dyDescent="0.25">
      <c r="I4384" s="86">
        <v>4383</v>
      </c>
      <c r="J4384" s="87">
        <v>1.6478342918633189</v>
      </c>
      <c r="K4384" s="87">
        <v>7.4585087612629861</v>
      </c>
    </row>
    <row r="4385" spans="9:11" x14ac:dyDescent="0.25">
      <c r="I4385" s="86">
        <v>4384</v>
      </c>
      <c r="J4385" s="87">
        <v>1.43744777866715</v>
      </c>
      <c r="K4385" s="87">
        <v>5.3531862305659681</v>
      </c>
    </row>
    <row r="4386" spans="9:11" x14ac:dyDescent="0.25">
      <c r="I4386" s="86">
        <v>4385</v>
      </c>
      <c r="J4386" s="87">
        <v>1.1676845227433312</v>
      </c>
      <c r="K4386" s="87">
        <v>5.7227895784864691</v>
      </c>
    </row>
    <row r="4387" spans="9:11" x14ac:dyDescent="0.25">
      <c r="I4387" s="86">
        <v>4386</v>
      </c>
      <c r="J4387" s="87">
        <v>2.3774284154256788</v>
      </c>
      <c r="K4387" s="87">
        <v>8.7277269340077925</v>
      </c>
    </row>
    <row r="4388" spans="9:11" x14ac:dyDescent="0.25">
      <c r="I4388" s="86">
        <v>4387</v>
      </c>
      <c r="J4388" s="87">
        <v>-4.7457047582089018E-3</v>
      </c>
      <c r="K4388" s="87">
        <v>5.2471785566883105</v>
      </c>
    </row>
    <row r="4389" spans="9:11" x14ac:dyDescent="0.25">
      <c r="I4389" s="86">
        <v>4388</v>
      </c>
      <c r="J4389" s="87">
        <v>3.7318822258132025</v>
      </c>
      <c r="K4389" s="87">
        <v>7.206429755180503</v>
      </c>
    </row>
    <row r="4390" spans="9:11" x14ac:dyDescent="0.25">
      <c r="I4390" s="86">
        <v>4389</v>
      </c>
      <c r="J4390" s="87">
        <v>3.4107280282101309</v>
      </c>
      <c r="K4390" s="87">
        <v>8.5160371101996599</v>
      </c>
    </row>
    <row r="4391" spans="9:11" x14ac:dyDescent="0.25">
      <c r="I4391" s="86">
        <v>4390</v>
      </c>
      <c r="J4391" s="87">
        <v>1.2909499637291173</v>
      </c>
      <c r="K4391" s="87">
        <v>6.5353338491072224</v>
      </c>
    </row>
    <row r="4392" spans="9:11" x14ac:dyDescent="0.25">
      <c r="I4392" s="86">
        <v>4391</v>
      </c>
      <c r="J4392" s="87">
        <v>4.2154744926293066</v>
      </c>
      <c r="K4392" s="87">
        <v>8.5932318394959921</v>
      </c>
    </row>
    <row r="4393" spans="9:11" x14ac:dyDescent="0.25">
      <c r="I4393" s="86">
        <v>4392</v>
      </c>
      <c r="J4393" s="87">
        <v>3.9249748930761514</v>
      </c>
      <c r="K4393" s="87">
        <v>9.055831883513429</v>
      </c>
    </row>
    <row r="4394" spans="9:11" x14ac:dyDescent="0.25">
      <c r="I4394" s="86">
        <v>4393</v>
      </c>
      <c r="J4394" s="87">
        <v>2.2363301014683552</v>
      </c>
      <c r="K4394" s="87">
        <v>6.0831426904744736</v>
      </c>
    </row>
    <row r="4395" spans="9:11" x14ac:dyDescent="0.25">
      <c r="I4395" s="86">
        <v>4394</v>
      </c>
      <c r="J4395" s="87">
        <v>8.9070159185348707</v>
      </c>
      <c r="K4395" s="87">
        <v>11.310283857374298</v>
      </c>
    </row>
    <row r="4396" spans="9:11" x14ac:dyDescent="0.25">
      <c r="I4396" s="86">
        <v>4395</v>
      </c>
      <c r="J4396" s="87">
        <v>0.38725301557343617</v>
      </c>
      <c r="K4396" s="87">
        <v>5.7236914861431423</v>
      </c>
    </row>
    <row r="4397" spans="9:11" x14ac:dyDescent="0.25">
      <c r="I4397" s="86">
        <v>4396</v>
      </c>
      <c r="J4397" s="87">
        <v>1.5213927950993331</v>
      </c>
      <c r="K4397" s="87">
        <v>5.9764609403609734</v>
      </c>
    </row>
    <row r="4398" spans="9:11" x14ac:dyDescent="0.25">
      <c r="I4398" s="86">
        <v>4397</v>
      </c>
      <c r="J4398" s="87">
        <v>-0.51658402960262695</v>
      </c>
      <c r="K4398" s="87">
        <v>5.1923700160878106</v>
      </c>
    </row>
    <row r="4399" spans="9:11" x14ac:dyDescent="0.25">
      <c r="I4399" s="86">
        <v>4398</v>
      </c>
      <c r="J4399" s="87">
        <v>1.1371197626210137</v>
      </c>
      <c r="K4399" s="87">
        <v>6.6216987340849434</v>
      </c>
    </row>
    <row r="4400" spans="9:11" x14ac:dyDescent="0.25">
      <c r="I4400" s="86">
        <v>4399</v>
      </c>
      <c r="J4400" s="87">
        <v>-0.28954292712463392</v>
      </c>
      <c r="K4400" s="87">
        <v>6.4753677913016086</v>
      </c>
    </row>
    <row r="4401" spans="9:11" x14ac:dyDescent="0.25">
      <c r="I4401" s="86">
        <v>4400</v>
      </c>
      <c r="J4401" s="87">
        <v>3.5030292254292936</v>
      </c>
      <c r="K4401" s="87">
        <v>9.4429261193274332</v>
      </c>
    </row>
    <row r="4402" spans="9:11" x14ac:dyDescent="0.25">
      <c r="I4402" s="86">
        <v>4401</v>
      </c>
      <c r="J4402" s="87">
        <v>0.75202089170158892</v>
      </c>
      <c r="K4402" s="87">
        <v>6.0008809864196211</v>
      </c>
    </row>
    <row r="4403" spans="9:11" x14ac:dyDescent="0.25">
      <c r="I4403" s="86">
        <v>4402</v>
      </c>
      <c r="J4403" s="87">
        <v>0.39006343922481967</v>
      </c>
      <c r="K4403" s="87">
        <v>5.2366235694399199</v>
      </c>
    </row>
    <row r="4404" spans="9:11" x14ac:dyDescent="0.25">
      <c r="I4404" s="86">
        <v>4403</v>
      </c>
      <c r="J4404" s="87">
        <v>0.72659654260923023</v>
      </c>
      <c r="K4404" s="87">
        <v>6.0481026916649752</v>
      </c>
    </row>
    <row r="4405" spans="9:11" x14ac:dyDescent="0.25">
      <c r="I4405" s="86">
        <v>4404</v>
      </c>
      <c r="J4405" s="87">
        <v>-1.1336362990070006</v>
      </c>
      <c r="K4405" s="87">
        <v>4.9233735223458481</v>
      </c>
    </row>
    <row r="4406" spans="9:11" x14ac:dyDescent="0.25">
      <c r="I4406" s="86">
        <v>4405</v>
      </c>
      <c r="J4406" s="87">
        <v>-6.0972894081786855E-2</v>
      </c>
      <c r="K4406" s="87">
        <v>5.7056462084886777</v>
      </c>
    </row>
    <row r="4407" spans="9:11" x14ac:dyDescent="0.25">
      <c r="I4407" s="86">
        <v>4406</v>
      </c>
      <c r="J4407" s="87">
        <v>0.92866173453174383</v>
      </c>
      <c r="K4407" s="87">
        <v>6.5521811949856952</v>
      </c>
    </row>
    <row r="4408" spans="9:11" x14ac:dyDescent="0.25">
      <c r="I4408" s="86">
        <v>4407</v>
      </c>
      <c r="J4408" s="87">
        <v>2.2354753053167418</v>
      </c>
      <c r="K4408" s="87">
        <v>7.7846507537926346</v>
      </c>
    </row>
    <row r="4409" spans="9:11" x14ac:dyDescent="0.25">
      <c r="I4409" s="86">
        <v>4408</v>
      </c>
      <c r="J4409" s="87">
        <v>0.3131497704171089</v>
      </c>
      <c r="K4409" s="87">
        <v>6.73875482629591</v>
      </c>
    </row>
    <row r="4410" spans="9:11" x14ac:dyDescent="0.25">
      <c r="I4410" s="86">
        <v>4409</v>
      </c>
      <c r="J4410" s="87">
        <v>2.9024269486343757</v>
      </c>
      <c r="K4410" s="87">
        <v>9.1395229925937596</v>
      </c>
    </row>
    <row r="4411" spans="9:11" x14ac:dyDescent="0.25">
      <c r="I4411" s="86">
        <v>4410</v>
      </c>
      <c r="J4411" s="87">
        <v>-0.76585763462378909</v>
      </c>
      <c r="K4411" s="87">
        <v>4.699810941615401</v>
      </c>
    </row>
    <row r="4412" spans="9:11" x14ac:dyDescent="0.25">
      <c r="I4412" s="86">
        <v>4411</v>
      </c>
      <c r="J4412" s="87">
        <v>2.3443166387351386</v>
      </c>
      <c r="K4412" s="87">
        <v>8.0346419872094614</v>
      </c>
    </row>
    <row r="4413" spans="9:11" x14ac:dyDescent="0.25">
      <c r="I4413" s="86">
        <v>4412</v>
      </c>
      <c r="J4413" s="87">
        <v>0.82184351237741682</v>
      </c>
      <c r="K4413" s="87">
        <v>5.7555942466234775</v>
      </c>
    </row>
    <row r="4414" spans="9:11" x14ac:dyDescent="0.25">
      <c r="I4414" s="86">
        <v>4413</v>
      </c>
      <c r="J4414" s="87">
        <v>2.4717823216746369</v>
      </c>
      <c r="K4414" s="87">
        <v>5.4210953920704235</v>
      </c>
    </row>
    <row r="4415" spans="9:11" x14ac:dyDescent="0.25">
      <c r="I4415" s="86">
        <v>4414</v>
      </c>
      <c r="J4415" s="87">
        <v>5.6226558792508001</v>
      </c>
      <c r="K4415" s="87">
        <v>7.952355996122181</v>
      </c>
    </row>
    <row r="4416" spans="9:11" x14ac:dyDescent="0.25">
      <c r="I4416" s="86">
        <v>4415</v>
      </c>
      <c r="J4416" s="87">
        <v>0.41164492976335776</v>
      </c>
      <c r="K4416" s="87">
        <v>5.7841229712345434</v>
      </c>
    </row>
    <row r="4417" spans="9:11" x14ac:dyDescent="0.25">
      <c r="I4417" s="86">
        <v>4416</v>
      </c>
      <c r="J4417" s="87">
        <v>2.7778820296987616</v>
      </c>
      <c r="K4417" s="87">
        <v>8.7711656903598385</v>
      </c>
    </row>
    <row r="4418" spans="9:11" x14ac:dyDescent="0.25">
      <c r="I4418" s="86">
        <v>4417</v>
      </c>
      <c r="J4418" s="87">
        <v>-0.33806752837115805</v>
      </c>
      <c r="K4418" s="87">
        <v>4.9929769750266066</v>
      </c>
    </row>
    <row r="4419" spans="9:11" x14ac:dyDescent="0.25">
      <c r="I4419" s="86">
        <v>4418</v>
      </c>
      <c r="J4419" s="87">
        <v>0.90395137002476478</v>
      </c>
      <c r="K4419" s="87">
        <v>7.2221200063781064</v>
      </c>
    </row>
    <row r="4420" spans="9:11" x14ac:dyDescent="0.25">
      <c r="I4420" s="86">
        <v>4419</v>
      </c>
      <c r="J4420" s="87">
        <v>2.3971525778521876</v>
      </c>
      <c r="K4420" s="87">
        <v>7.2979861921441653</v>
      </c>
    </row>
    <row r="4421" spans="9:11" x14ac:dyDescent="0.25">
      <c r="I4421" s="86">
        <v>4420</v>
      </c>
      <c r="J4421" s="87">
        <v>-0.30821817631693182</v>
      </c>
      <c r="K4421" s="87">
        <v>5.2848923529707701</v>
      </c>
    </row>
    <row r="4422" spans="9:11" x14ac:dyDescent="0.25">
      <c r="I4422" s="86">
        <v>4421</v>
      </c>
      <c r="J4422" s="87">
        <v>1.5211049947621467</v>
      </c>
      <c r="K4422" s="87">
        <v>6.5837063708957473</v>
      </c>
    </row>
    <row r="4423" spans="9:11" x14ac:dyDescent="0.25">
      <c r="I4423" s="86">
        <v>4422</v>
      </c>
      <c r="J4423" s="87">
        <v>2.833210062811248</v>
      </c>
      <c r="K4423" s="87">
        <v>5.3769196890265256</v>
      </c>
    </row>
    <row r="4424" spans="9:11" x14ac:dyDescent="0.25">
      <c r="I4424" s="86">
        <v>4423</v>
      </c>
      <c r="J4424" s="87">
        <v>11.19157330216075</v>
      </c>
      <c r="K4424" s="87">
        <v>10.787927830360893</v>
      </c>
    </row>
    <row r="4425" spans="9:11" x14ac:dyDescent="0.25">
      <c r="I4425" s="86">
        <v>4424</v>
      </c>
      <c r="J4425" s="87">
        <v>-0.52172856038978299</v>
      </c>
      <c r="K4425" s="87">
        <v>5.0788758354662091</v>
      </c>
    </row>
    <row r="4426" spans="9:11" x14ac:dyDescent="0.25">
      <c r="I4426" s="86">
        <v>4425</v>
      </c>
      <c r="J4426" s="87">
        <v>-2.5187412733726786</v>
      </c>
      <c r="K4426" s="87">
        <v>5.1122560853135388</v>
      </c>
    </row>
    <row r="4427" spans="9:11" x14ac:dyDescent="0.25">
      <c r="I4427" s="86">
        <v>4426</v>
      </c>
      <c r="J4427" s="87">
        <v>1.7991897313838807</v>
      </c>
      <c r="K4427" s="87">
        <v>6.9084492441900371</v>
      </c>
    </row>
    <row r="4428" spans="9:11" x14ac:dyDescent="0.25">
      <c r="I4428" s="86">
        <v>4427</v>
      </c>
      <c r="J4428" s="87">
        <v>-0.40566773917558407</v>
      </c>
      <c r="K4428" s="87">
        <v>4.8765341661510675</v>
      </c>
    </row>
    <row r="4429" spans="9:11" x14ac:dyDescent="0.25">
      <c r="I4429" s="86">
        <v>4428</v>
      </c>
      <c r="J4429" s="87">
        <v>-0.56537404270231661</v>
      </c>
      <c r="K4429" s="87">
        <v>6.7831388287601291</v>
      </c>
    </row>
    <row r="4430" spans="9:11" x14ac:dyDescent="0.25">
      <c r="I4430" s="86">
        <v>4429</v>
      </c>
      <c r="J4430" s="87">
        <v>-0.98215781694654236</v>
      </c>
      <c r="K4430" s="87">
        <v>6.1689786293951148</v>
      </c>
    </row>
    <row r="4431" spans="9:11" x14ac:dyDescent="0.25">
      <c r="I4431" s="86">
        <v>4430</v>
      </c>
      <c r="J4431" s="87">
        <v>-2.5536213707309954</v>
      </c>
      <c r="K4431" s="87">
        <v>4.5653839287163942</v>
      </c>
    </row>
    <row r="4432" spans="9:11" x14ac:dyDescent="0.25">
      <c r="I4432" s="86">
        <v>4431</v>
      </c>
      <c r="J4432" s="87">
        <v>2.0091827915602911</v>
      </c>
      <c r="K4432" s="87">
        <v>7.1785690638970943</v>
      </c>
    </row>
    <row r="4433" spans="9:11" x14ac:dyDescent="0.25">
      <c r="I4433" s="86">
        <v>4432</v>
      </c>
      <c r="J4433" s="87">
        <v>2.6412216630202505</v>
      </c>
      <c r="K4433" s="87">
        <v>5.5644253858370103</v>
      </c>
    </row>
    <row r="4434" spans="9:11" x14ac:dyDescent="0.25">
      <c r="I4434" s="86">
        <v>4433</v>
      </c>
      <c r="J4434" s="87">
        <v>-9.8351508139654875E-2</v>
      </c>
      <c r="K4434" s="87">
        <v>6.5757954887257171</v>
      </c>
    </row>
    <row r="4435" spans="9:11" x14ac:dyDescent="0.25">
      <c r="I4435" s="86">
        <v>4434</v>
      </c>
      <c r="J4435" s="87">
        <v>2.5165292424783665</v>
      </c>
      <c r="K4435" s="87">
        <v>7.8991726656433388</v>
      </c>
    </row>
    <row r="4436" spans="9:11" x14ac:dyDescent="0.25">
      <c r="I4436" s="86">
        <v>4435</v>
      </c>
      <c r="J4436" s="87">
        <v>1.7245981581081482</v>
      </c>
      <c r="K4436" s="87">
        <v>7.7025748885710659</v>
      </c>
    </row>
    <row r="4437" spans="9:11" x14ac:dyDescent="0.25">
      <c r="I4437" s="86">
        <v>4436</v>
      </c>
      <c r="J4437" s="87">
        <v>1.6032220618533266</v>
      </c>
      <c r="K4437" s="87">
        <v>8.3472830246223069</v>
      </c>
    </row>
    <row r="4438" spans="9:11" x14ac:dyDescent="0.25">
      <c r="I4438" s="86">
        <v>4437</v>
      </c>
      <c r="J4438" s="87">
        <v>0.84238777652043062</v>
      </c>
      <c r="K4438" s="87">
        <v>6.4193551504187143</v>
      </c>
    </row>
    <row r="4439" spans="9:11" x14ac:dyDescent="0.25">
      <c r="I4439" s="86">
        <v>4438</v>
      </c>
      <c r="J4439" s="87">
        <v>6.4653689245199031</v>
      </c>
      <c r="K4439" s="87">
        <v>8.314226542607619</v>
      </c>
    </row>
    <row r="4440" spans="9:11" x14ac:dyDescent="0.25">
      <c r="I4440" s="86">
        <v>4439</v>
      </c>
      <c r="J4440" s="87">
        <v>1.8635790813055388</v>
      </c>
      <c r="K4440" s="87">
        <v>6.0142821564102595</v>
      </c>
    </row>
    <row r="4441" spans="9:11" x14ac:dyDescent="0.25">
      <c r="I4441" s="86">
        <v>4440</v>
      </c>
      <c r="J4441" s="87">
        <v>-0.49429408774612771</v>
      </c>
      <c r="K4441" s="87">
        <v>4.6163149901763711</v>
      </c>
    </row>
    <row r="4442" spans="9:11" x14ac:dyDescent="0.25">
      <c r="I4442" s="86">
        <v>4441</v>
      </c>
      <c r="J4442" s="87">
        <v>0.46618733596395057</v>
      </c>
      <c r="K4442" s="87">
        <v>6.3101920853887785</v>
      </c>
    </row>
    <row r="4443" spans="9:11" x14ac:dyDescent="0.25">
      <c r="I4443" s="86">
        <v>4442</v>
      </c>
      <c r="J4443" s="87">
        <v>1.6849926641137412</v>
      </c>
      <c r="K4443" s="87">
        <v>7.801057381038019</v>
      </c>
    </row>
    <row r="4444" spans="9:11" x14ac:dyDescent="0.25">
      <c r="I4444" s="86">
        <v>4443</v>
      </c>
      <c r="J4444" s="87">
        <v>2.6057974297242392</v>
      </c>
      <c r="K4444" s="87">
        <v>6.9110045645733313</v>
      </c>
    </row>
    <row r="4445" spans="9:11" x14ac:dyDescent="0.25">
      <c r="I4445" s="86">
        <v>4444</v>
      </c>
      <c r="J4445" s="87">
        <v>0.74948704127815535</v>
      </c>
      <c r="K4445" s="87">
        <v>7.0818173823914057</v>
      </c>
    </row>
    <row r="4446" spans="9:11" x14ac:dyDescent="0.25">
      <c r="I4446" s="86">
        <v>4445</v>
      </c>
      <c r="J4446" s="87">
        <v>-1.0982908852894075</v>
      </c>
      <c r="K4446" s="87">
        <v>5.1907884226432452</v>
      </c>
    </row>
    <row r="4447" spans="9:11" x14ac:dyDescent="0.25">
      <c r="I4447" s="86">
        <v>4446</v>
      </c>
      <c r="J4447" s="87">
        <v>1.8079762720224997</v>
      </c>
      <c r="K4447" s="87">
        <v>6.7763487747577722</v>
      </c>
    </row>
    <row r="4448" spans="9:11" x14ac:dyDescent="0.25">
      <c r="I4448" s="86">
        <v>4447</v>
      </c>
      <c r="J4448" s="87">
        <v>-4.45727344763025E-2</v>
      </c>
      <c r="K4448" s="87">
        <v>5.3574744890713006</v>
      </c>
    </row>
    <row r="4449" spans="9:11" x14ac:dyDescent="0.25">
      <c r="I4449" s="86">
        <v>4448</v>
      </c>
      <c r="J4449" s="87">
        <v>5.8966891643805299</v>
      </c>
      <c r="K4449" s="87">
        <v>8.251058936067885</v>
      </c>
    </row>
    <row r="4450" spans="9:11" x14ac:dyDescent="0.25">
      <c r="I4450" s="86">
        <v>4449</v>
      </c>
      <c r="J4450" s="87">
        <v>0.22505482685529454</v>
      </c>
      <c r="K4450" s="87">
        <v>6.7858047548736389</v>
      </c>
    </row>
    <row r="4451" spans="9:11" x14ac:dyDescent="0.25">
      <c r="I4451" s="86">
        <v>4450</v>
      </c>
      <c r="J4451" s="87">
        <v>1.5221350306920094</v>
      </c>
      <c r="K4451" s="87">
        <v>7.739131713030182</v>
      </c>
    </row>
    <row r="4452" spans="9:11" x14ac:dyDescent="0.25">
      <c r="I4452" s="86">
        <v>4451</v>
      </c>
      <c r="J4452" s="87">
        <v>0.26000763133059523</v>
      </c>
      <c r="K4452" s="87">
        <v>4.8872468620745835</v>
      </c>
    </row>
    <row r="4453" spans="9:11" x14ac:dyDescent="0.25">
      <c r="I4453" s="86">
        <v>4452</v>
      </c>
      <c r="J4453" s="87">
        <v>3.3974098039668057</v>
      </c>
      <c r="K4453" s="87">
        <v>10.753814546314816</v>
      </c>
    </row>
    <row r="4454" spans="9:11" x14ac:dyDescent="0.25">
      <c r="I4454" s="86">
        <v>4453</v>
      </c>
      <c r="J4454" s="87">
        <v>1.6919691220299056</v>
      </c>
      <c r="K4454" s="87">
        <v>8.1161273498090125</v>
      </c>
    </row>
    <row r="4455" spans="9:11" x14ac:dyDescent="0.25">
      <c r="I4455" s="86">
        <v>4454</v>
      </c>
      <c r="J4455" s="87">
        <v>2.9561969026663775</v>
      </c>
      <c r="K4455" s="87">
        <v>7.2628564419260409</v>
      </c>
    </row>
    <row r="4456" spans="9:11" x14ac:dyDescent="0.25">
      <c r="I4456" s="86">
        <v>4455</v>
      </c>
      <c r="J4456" s="87">
        <v>-1.0069541015209049</v>
      </c>
      <c r="K4456" s="87">
        <v>4.9839528445058079</v>
      </c>
    </row>
    <row r="4457" spans="9:11" x14ac:dyDescent="0.25">
      <c r="I4457" s="86">
        <v>4456</v>
      </c>
      <c r="J4457" s="87">
        <v>2.3229196900033386</v>
      </c>
      <c r="K4457" s="87">
        <v>6.8179615140672993</v>
      </c>
    </row>
    <row r="4458" spans="9:11" x14ac:dyDescent="0.25">
      <c r="I4458" s="86">
        <v>4457</v>
      </c>
      <c r="J4458" s="87">
        <v>11.75380375317067</v>
      </c>
      <c r="K4458" s="87">
        <v>12.748120782117303</v>
      </c>
    </row>
    <row r="4459" spans="9:11" x14ac:dyDescent="0.25">
      <c r="I4459" s="86">
        <v>4458</v>
      </c>
      <c r="J4459" s="87">
        <v>-0.86911287795843339</v>
      </c>
      <c r="K4459" s="87">
        <v>5.8882251564270796</v>
      </c>
    </row>
    <row r="4460" spans="9:11" x14ac:dyDescent="0.25">
      <c r="I4460" s="86">
        <v>4459</v>
      </c>
      <c r="J4460" s="87">
        <v>-0.53799206523155618</v>
      </c>
      <c r="K4460" s="87">
        <v>6.543768630499236</v>
      </c>
    </row>
    <row r="4461" spans="9:11" x14ac:dyDescent="0.25">
      <c r="I4461" s="86">
        <v>4460</v>
      </c>
      <c r="J4461" s="87">
        <v>-0.24905116322844734</v>
      </c>
      <c r="K4461" s="87">
        <v>5.8755817843923444</v>
      </c>
    </row>
    <row r="4462" spans="9:11" x14ac:dyDescent="0.25">
      <c r="I4462" s="86">
        <v>4461</v>
      </c>
      <c r="J4462" s="87">
        <v>1.5956681277940472</v>
      </c>
      <c r="K4462" s="87">
        <v>6.4909312500205516</v>
      </c>
    </row>
    <row r="4463" spans="9:11" x14ac:dyDescent="0.25">
      <c r="I4463" s="86">
        <v>4462</v>
      </c>
      <c r="J4463" s="87">
        <v>-0.69883489704399882</v>
      </c>
      <c r="K4463" s="87">
        <v>5.6488270035360335</v>
      </c>
    </row>
    <row r="4464" spans="9:11" x14ac:dyDescent="0.25">
      <c r="I4464" s="86">
        <v>4463</v>
      </c>
      <c r="J4464" s="87">
        <v>4.9915839814769214</v>
      </c>
      <c r="K4464" s="87">
        <v>8.6100985905240517</v>
      </c>
    </row>
    <row r="4465" spans="9:11" x14ac:dyDescent="0.25">
      <c r="I4465" s="86">
        <v>4464</v>
      </c>
      <c r="J4465" s="87">
        <v>1.780839773519598</v>
      </c>
      <c r="K4465" s="87">
        <v>6.5281777429223409</v>
      </c>
    </row>
    <row r="4466" spans="9:11" x14ac:dyDescent="0.25">
      <c r="I4466" s="86">
        <v>4465</v>
      </c>
      <c r="J4466" s="87">
        <v>0.27928125495930178</v>
      </c>
      <c r="K4466" s="87">
        <v>5.2515852524317541</v>
      </c>
    </row>
    <row r="4467" spans="9:11" x14ac:dyDescent="0.25">
      <c r="I4467" s="86">
        <v>4466</v>
      </c>
      <c r="J4467" s="87">
        <v>3.1766408373961088</v>
      </c>
      <c r="K4467" s="87">
        <v>7.4779071136660873</v>
      </c>
    </row>
    <row r="4468" spans="9:11" x14ac:dyDescent="0.25">
      <c r="I4468" s="86">
        <v>4467</v>
      </c>
      <c r="J4468" s="87">
        <v>2.5230290521247047</v>
      </c>
      <c r="K4468" s="87">
        <v>7.5964211025748476</v>
      </c>
    </row>
    <row r="4469" spans="9:11" x14ac:dyDescent="0.25">
      <c r="I4469" s="86">
        <v>4468</v>
      </c>
      <c r="J4469" s="87">
        <v>-0.21084317004620612</v>
      </c>
      <c r="K4469" s="87">
        <v>7.8177814964922892</v>
      </c>
    </row>
    <row r="4470" spans="9:11" x14ac:dyDescent="0.25">
      <c r="I4470" s="86">
        <v>4469</v>
      </c>
      <c r="J4470" s="87">
        <v>3.2327575977665628</v>
      </c>
      <c r="K4470" s="87">
        <v>7.798648878259729</v>
      </c>
    </row>
    <row r="4471" spans="9:11" x14ac:dyDescent="0.25">
      <c r="I4471" s="86">
        <v>4470</v>
      </c>
      <c r="J4471" s="87">
        <v>0.46862988567576647</v>
      </c>
      <c r="K4471" s="87">
        <v>7.0882193843680827</v>
      </c>
    </row>
    <row r="4472" spans="9:11" x14ac:dyDescent="0.25">
      <c r="I4472" s="86">
        <v>4471</v>
      </c>
      <c r="J4472" s="87">
        <v>5.5682990907554872</v>
      </c>
      <c r="K4472" s="87">
        <v>8.3923273731943517</v>
      </c>
    </row>
    <row r="4473" spans="9:11" x14ac:dyDescent="0.25">
      <c r="I4473" s="86">
        <v>4472</v>
      </c>
      <c r="J4473" s="87">
        <v>1.5212466059760921</v>
      </c>
      <c r="K4473" s="87">
        <v>5.461211516008257</v>
      </c>
    </row>
    <row r="4474" spans="9:11" x14ac:dyDescent="0.25">
      <c r="I4474" s="86">
        <v>4473</v>
      </c>
      <c r="J4474" s="87">
        <v>-1.0937789328988861</v>
      </c>
      <c r="K4474" s="87">
        <v>4.6358713572255112</v>
      </c>
    </row>
    <row r="4475" spans="9:11" x14ac:dyDescent="0.25">
      <c r="I4475" s="86">
        <v>4474</v>
      </c>
      <c r="J4475" s="87">
        <v>3.2090561488221736</v>
      </c>
      <c r="K4475" s="87">
        <v>8.4982430235496267</v>
      </c>
    </row>
    <row r="4476" spans="9:11" x14ac:dyDescent="0.25">
      <c r="I4476" s="86">
        <v>4475</v>
      </c>
      <c r="J4476" s="87">
        <v>1.8731178665701842</v>
      </c>
      <c r="K4476" s="87">
        <v>6.8919038121093426</v>
      </c>
    </row>
    <row r="4477" spans="9:11" x14ac:dyDescent="0.25">
      <c r="I4477" s="86">
        <v>4476</v>
      </c>
      <c r="J4477" s="87">
        <v>2.4689554198205181</v>
      </c>
      <c r="K4477" s="87">
        <v>7.8826128954821773</v>
      </c>
    </row>
    <row r="4478" spans="9:11" x14ac:dyDescent="0.25">
      <c r="I4478" s="86">
        <v>4477</v>
      </c>
      <c r="J4478" s="87">
        <v>6.3047531597222886</v>
      </c>
      <c r="K4478" s="87">
        <v>9.8277137181052758</v>
      </c>
    </row>
    <row r="4479" spans="9:11" x14ac:dyDescent="0.25">
      <c r="I4479" s="86">
        <v>4478</v>
      </c>
      <c r="J4479" s="87">
        <v>1.4482917903471639</v>
      </c>
      <c r="K4479" s="87">
        <v>7.2516042200105764</v>
      </c>
    </row>
    <row r="4480" spans="9:11" x14ac:dyDescent="0.25">
      <c r="I4480" s="86">
        <v>4479</v>
      </c>
      <c r="J4480" s="87">
        <v>4.9868894624336111</v>
      </c>
      <c r="K4480" s="87">
        <v>5.9904712598635657</v>
      </c>
    </row>
    <row r="4481" spans="9:11" x14ac:dyDescent="0.25">
      <c r="I4481" s="86">
        <v>4480</v>
      </c>
      <c r="J4481" s="87">
        <v>0.26263078550433683</v>
      </c>
      <c r="K4481" s="87">
        <v>7.0950114657324521</v>
      </c>
    </row>
    <row r="4482" spans="9:11" x14ac:dyDescent="0.25">
      <c r="I4482" s="86">
        <v>4481</v>
      </c>
      <c r="J4482" s="87">
        <v>2.235847907989025</v>
      </c>
      <c r="K4482" s="87">
        <v>8.9976570760705865</v>
      </c>
    </row>
    <row r="4483" spans="9:11" x14ac:dyDescent="0.25">
      <c r="I4483" s="86">
        <v>4482</v>
      </c>
      <c r="J4483" s="87">
        <v>1.5000460098194575</v>
      </c>
      <c r="K4483" s="87">
        <v>6.2926628753328089</v>
      </c>
    </row>
    <row r="4484" spans="9:11" x14ac:dyDescent="0.25">
      <c r="I4484" s="86">
        <v>4483</v>
      </c>
      <c r="J4484" s="87">
        <v>1.6716353030395812</v>
      </c>
      <c r="K4484" s="87">
        <v>5.5087839997790455</v>
      </c>
    </row>
    <row r="4485" spans="9:11" x14ac:dyDescent="0.25">
      <c r="I4485" s="86">
        <v>4484</v>
      </c>
      <c r="J4485" s="87">
        <v>6.0333671655422414</v>
      </c>
      <c r="K4485" s="87">
        <v>9.3543771781350156</v>
      </c>
    </row>
    <row r="4486" spans="9:11" x14ac:dyDescent="0.25">
      <c r="I4486" s="86">
        <v>4485</v>
      </c>
      <c r="J4486" s="87">
        <v>-0.26001753284302431</v>
      </c>
      <c r="K4486" s="87">
        <v>7.8389708892661787</v>
      </c>
    </row>
    <row r="4487" spans="9:11" x14ac:dyDescent="0.25">
      <c r="I4487" s="86">
        <v>4486</v>
      </c>
      <c r="J4487" s="87">
        <v>4.9416542824601635</v>
      </c>
      <c r="K4487" s="87">
        <v>8.8975845805813485</v>
      </c>
    </row>
    <row r="4488" spans="9:11" x14ac:dyDescent="0.25">
      <c r="I4488" s="86">
        <v>4487</v>
      </c>
      <c r="J4488" s="87">
        <v>0.38598677933043923</v>
      </c>
      <c r="K4488" s="87">
        <v>6.53542476359058</v>
      </c>
    </row>
    <row r="4489" spans="9:11" x14ac:dyDescent="0.25">
      <c r="I4489" s="86">
        <v>4488</v>
      </c>
      <c r="J4489" s="87">
        <v>-0.77591531169454075</v>
      </c>
      <c r="K4489" s="87">
        <v>5.498147204208756</v>
      </c>
    </row>
    <row r="4490" spans="9:11" x14ac:dyDescent="0.25">
      <c r="I4490" s="86">
        <v>4489</v>
      </c>
      <c r="J4490" s="87">
        <v>1.5028510575454428</v>
      </c>
      <c r="K4490" s="87">
        <v>6.7116470951450475</v>
      </c>
    </row>
    <row r="4491" spans="9:11" x14ac:dyDescent="0.25">
      <c r="I4491" s="86">
        <v>4490</v>
      </c>
      <c r="J4491" s="87">
        <v>2.1720592252138013</v>
      </c>
      <c r="K4491" s="87">
        <v>7.6388987656108416</v>
      </c>
    </row>
    <row r="4492" spans="9:11" x14ac:dyDescent="0.25">
      <c r="I4492" s="86">
        <v>4491</v>
      </c>
      <c r="J4492" s="87">
        <v>5.7639241535499171</v>
      </c>
      <c r="K4492" s="87">
        <v>8.0557580183920976</v>
      </c>
    </row>
    <row r="4493" spans="9:11" x14ac:dyDescent="0.25">
      <c r="I4493" s="86">
        <v>4492</v>
      </c>
      <c r="J4493" s="87">
        <v>3.5054801832428204</v>
      </c>
      <c r="K4493" s="87">
        <v>7.2109637834588005</v>
      </c>
    </row>
    <row r="4494" spans="9:11" x14ac:dyDescent="0.25">
      <c r="I4494" s="86">
        <v>4493</v>
      </c>
      <c r="J4494" s="87">
        <v>-0.5494083773494971</v>
      </c>
      <c r="K4494" s="87">
        <v>5.579299275139598</v>
      </c>
    </row>
    <row r="4495" spans="9:11" x14ac:dyDescent="0.25">
      <c r="I4495" s="86">
        <v>4494</v>
      </c>
      <c r="J4495" s="87">
        <v>0.31175845048558593</v>
      </c>
      <c r="K4495" s="87">
        <v>5.0511292277943793</v>
      </c>
    </row>
    <row r="4496" spans="9:11" x14ac:dyDescent="0.25">
      <c r="I4496" s="86">
        <v>4495</v>
      </c>
      <c r="J4496" s="87">
        <v>2.3084315629881749</v>
      </c>
      <c r="K4496" s="87">
        <v>8.0412550139323162</v>
      </c>
    </row>
    <row r="4497" spans="9:11" x14ac:dyDescent="0.25">
      <c r="I4497" s="86">
        <v>4496</v>
      </c>
      <c r="J4497" s="87">
        <v>2.7894517708624695</v>
      </c>
      <c r="K4497" s="87">
        <v>7.0034280021320745</v>
      </c>
    </row>
    <row r="4498" spans="9:11" x14ac:dyDescent="0.25">
      <c r="I4498" s="86">
        <v>4497</v>
      </c>
      <c r="J4498" s="87">
        <v>15.628691718672442</v>
      </c>
      <c r="K4498" s="87">
        <v>13.766083903109404</v>
      </c>
    </row>
    <row r="4499" spans="9:11" x14ac:dyDescent="0.25">
      <c r="I4499" s="86">
        <v>4498</v>
      </c>
      <c r="J4499" s="87">
        <v>4.7880881621744393</v>
      </c>
      <c r="K4499" s="87">
        <v>8.4890258626755859</v>
      </c>
    </row>
    <row r="4500" spans="9:11" x14ac:dyDescent="0.25">
      <c r="I4500" s="86">
        <v>4499</v>
      </c>
      <c r="J4500" s="87">
        <v>-0.51436597878524104</v>
      </c>
      <c r="K4500" s="87">
        <v>5.9825591176582469</v>
      </c>
    </row>
    <row r="4501" spans="9:11" x14ac:dyDescent="0.25">
      <c r="I4501" s="86">
        <v>4500</v>
      </c>
      <c r="J4501" s="87">
        <v>3.2371666957749925</v>
      </c>
      <c r="K4501" s="87">
        <v>8.4128691533223492</v>
      </c>
    </row>
    <row r="4502" spans="9:11" x14ac:dyDescent="0.25">
      <c r="I4502" s="86">
        <v>4501</v>
      </c>
      <c r="J4502" s="87">
        <v>1.5291641277968377</v>
      </c>
      <c r="K4502" s="87">
        <v>6.8265715724768379</v>
      </c>
    </row>
    <row r="4503" spans="9:11" x14ac:dyDescent="0.25">
      <c r="I4503" s="86">
        <v>4502</v>
      </c>
      <c r="J4503" s="87">
        <v>0.73067527309882596</v>
      </c>
      <c r="K4503" s="87">
        <v>5.9323140043392462</v>
      </c>
    </row>
    <row r="4504" spans="9:11" x14ac:dyDescent="0.25">
      <c r="I4504" s="86">
        <v>4503</v>
      </c>
      <c r="J4504" s="87">
        <v>0.63177155189387468</v>
      </c>
      <c r="K4504" s="87">
        <v>5.2328306088724563</v>
      </c>
    </row>
    <row r="4505" spans="9:11" x14ac:dyDescent="0.25">
      <c r="I4505" s="86">
        <v>4504</v>
      </c>
      <c r="J4505" s="87">
        <v>0.52973146636656487</v>
      </c>
      <c r="K4505" s="87">
        <v>6.1056162282782385</v>
      </c>
    </row>
    <row r="4506" spans="9:11" x14ac:dyDescent="0.25">
      <c r="I4506" s="86">
        <v>4505</v>
      </c>
      <c r="J4506" s="87">
        <v>7.155389340367968E-3</v>
      </c>
      <c r="K4506" s="87">
        <v>4.6942277704238018</v>
      </c>
    </row>
    <row r="4507" spans="9:11" x14ac:dyDescent="0.25">
      <c r="I4507" s="86">
        <v>4506</v>
      </c>
      <c r="J4507" s="87">
        <v>4.2614972112847509</v>
      </c>
      <c r="K4507" s="87">
        <v>7.2574589727586254</v>
      </c>
    </row>
    <row r="4508" spans="9:11" x14ac:dyDescent="0.25">
      <c r="I4508" s="86">
        <v>4507</v>
      </c>
      <c r="J4508" s="87">
        <v>5.6265041512926528</v>
      </c>
      <c r="K4508" s="87">
        <v>9.5443560728954484</v>
      </c>
    </row>
    <row r="4509" spans="9:11" x14ac:dyDescent="0.25">
      <c r="I4509" s="86">
        <v>4508</v>
      </c>
      <c r="J4509" s="87">
        <v>2.386303791209393</v>
      </c>
      <c r="K4509" s="87">
        <v>6.0666372067234589</v>
      </c>
    </row>
    <row r="4510" spans="9:11" x14ac:dyDescent="0.25">
      <c r="I4510" s="86">
        <v>4509</v>
      </c>
      <c r="J4510" s="87">
        <v>-0.16487280754670852</v>
      </c>
      <c r="K4510" s="87">
        <v>5.6549257216493372</v>
      </c>
    </row>
    <row r="4511" spans="9:11" x14ac:dyDescent="0.25">
      <c r="I4511" s="86">
        <v>4510</v>
      </c>
      <c r="J4511" s="87">
        <v>-1.3940917945035425</v>
      </c>
      <c r="K4511" s="87">
        <v>4.058590275207214</v>
      </c>
    </row>
    <row r="4512" spans="9:11" x14ac:dyDescent="0.25">
      <c r="I4512" s="86">
        <v>4511</v>
      </c>
      <c r="J4512" s="87">
        <v>2.1598985961552835</v>
      </c>
      <c r="K4512" s="87">
        <v>5.3636029994241943</v>
      </c>
    </row>
    <row r="4513" spans="9:11" x14ac:dyDescent="0.25">
      <c r="I4513" s="86">
        <v>4512</v>
      </c>
      <c r="J4513" s="87">
        <v>-0.20543279013790361</v>
      </c>
      <c r="K4513" s="87">
        <v>6.7455087314826407</v>
      </c>
    </row>
    <row r="4514" spans="9:11" x14ac:dyDescent="0.25">
      <c r="I4514" s="86">
        <v>4513</v>
      </c>
      <c r="J4514" s="87">
        <v>1.0831255287377166</v>
      </c>
      <c r="K4514" s="87">
        <v>7.1795160375961293</v>
      </c>
    </row>
    <row r="4515" spans="9:11" x14ac:dyDescent="0.25">
      <c r="I4515" s="86">
        <v>4514</v>
      </c>
      <c r="J4515" s="87">
        <v>1.206732372182425</v>
      </c>
      <c r="K4515" s="87">
        <v>6.2876841613374923</v>
      </c>
    </row>
    <row r="4516" spans="9:11" x14ac:dyDescent="0.25">
      <c r="I4516" s="86">
        <v>4515</v>
      </c>
      <c r="J4516" s="87">
        <v>1.1460945525130448</v>
      </c>
      <c r="K4516" s="87">
        <v>7.6425270788025959</v>
      </c>
    </row>
    <row r="4517" spans="9:11" x14ac:dyDescent="0.25">
      <c r="I4517" s="86">
        <v>4516</v>
      </c>
      <c r="J4517" s="87">
        <v>4.659690239075414</v>
      </c>
      <c r="K4517" s="87">
        <v>9.8143318915146942</v>
      </c>
    </row>
    <row r="4518" spans="9:11" x14ac:dyDescent="0.25">
      <c r="I4518" s="86">
        <v>4517</v>
      </c>
      <c r="J4518" s="87">
        <v>1.8273904885674295</v>
      </c>
      <c r="K4518" s="87">
        <v>6.5971162096594496</v>
      </c>
    </row>
    <row r="4519" spans="9:11" x14ac:dyDescent="0.25">
      <c r="I4519" s="86">
        <v>4518</v>
      </c>
      <c r="J4519" s="87">
        <v>1.4773844214363123</v>
      </c>
      <c r="K4519" s="87">
        <v>7.9273643354454135</v>
      </c>
    </row>
    <row r="4520" spans="9:11" x14ac:dyDescent="0.25">
      <c r="I4520" s="86">
        <v>4519</v>
      </c>
      <c r="J4520" s="87">
        <v>0.35591869471841164</v>
      </c>
      <c r="K4520" s="87">
        <v>7.9042665411490454</v>
      </c>
    </row>
    <row r="4521" spans="9:11" x14ac:dyDescent="0.25">
      <c r="I4521" s="86">
        <v>4520</v>
      </c>
      <c r="J4521" s="87">
        <v>2.8538200665539604</v>
      </c>
      <c r="K4521" s="87">
        <v>7.6929765021620788</v>
      </c>
    </row>
    <row r="4522" spans="9:11" x14ac:dyDescent="0.25">
      <c r="I4522" s="86">
        <v>4521</v>
      </c>
      <c r="J4522" s="87">
        <v>0.30180867596352812</v>
      </c>
      <c r="K4522" s="87">
        <v>7.5552001096358152</v>
      </c>
    </row>
    <row r="4523" spans="9:11" x14ac:dyDescent="0.25">
      <c r="I4523" s="86">
        <v>4522</v>
      </c>
      <c r="J4523" s="87">
        <v>1.0569472486410012</v>
      </c>
      <c r="K4523" s="87">
        <v>4.6705328761578944</v>
      </c>
    </row>
    <row r="4524" spans="9:11" x14ac:dyDescent="0.25">
      <c r="I4524" s="86">
        <v>4523</v>
      </c>
      <c r="J4524" s="87">
        <v>0.3668420787457185</v>
      </c>
      <c r="K4524" s="87">
        <v>7.7667535411748361</v>
      </c>
    </row>
    <row r="4525" spans="9:11" x14ac:dyDescent="0.25">
      <c r="I4525" s="86">
        <v>4524</v>
      </c>
      <c r="J4525" s="87">
        <v>2.4943755699985353</v>
      </c>
      <c r="K4525" s="87">
        <v>7.0683458444934253</v>
      </c>
    </row>
    <row r="4526" spans="9:11" x14ac:dyDescent="0.25">
      <c r="I4526" s="86">
        <v>4525</v>
      </c>
      <c r="J4526" s="87">
        <v>1.8317333276838355</v>
      </c>
      <c r="K4526" s="87">
        <v>6.4402662508195929</v>
      </c>
    </row>
    <row r="4527" spans="9:11" x14ac:dyDescent="0.25">
      <c r="I4527" s="86">
        <v>4526</v>
      </c>
      <c r="J4527" s="87">
        <v>4.475736883253604</v>
      </c>
      <c r="K4527" s="87">
        <v>8.6331039582698406</v>
      </c>
    </row>
    <row r="4528" spans="9:11" x14ac:dyDescent="0.25">
      <c r="I4528" s="86">
        <v>4527</v>
      </c>
      <c r="J4528" s="87">
        <v>3.3804377582640726</v>
      </c>
      <c r="K4528" s="87">
        <v>8.044616762392149</v>
      </c>
    </row>
    <row r="4529" spans="9:11" x14ac:dyDescent="0.25">
      <c r="I4529" s="86">
        <v>4528</v>
      </c>
      <c r="J4529" s="87">
        <v>1.6167049362117307</v>
      </c>
      <c r="K4529" s="87">
        <v>8.2078844528403341</v>
      </c>
    </row>
    <row r="4530" spans="9:11" x14ac:dyDescent="0.25">
      <c r="I4530" s="86">
        <v>4529</v>
      </c>
      <c r="J4530" s="87">
        <v>1.381093433705658</v>
      </c>
      <c r="K4530" s="87">
        <v>4.4761563895444576</v>
      </c>
    </row>
    <row r="4531" spans="9:11" x14ac:dyDescent="0.25">
      <c r="I4531" s="86">
        <v>4530</v>
      </c>
      <c r="J4531" s="87">
        <v>0.56352489373725323</v>
      </c>
      <c r="K4531" s="87">
        <v>6.5631531319614203</v>
      </c>
    </row>
    <row r="4532" spans="9:11" x14ac:dyDescent="0.25">
      <c r="I4532" s="86">
        <v>4531</v>
      </c>
      <c r="J4532" s="87">
        <v>2.4389968098896881</v>
      </c>
      <c r="K4532" s="87">
        <v>8.1569567229806026</v>
      </c>
    </row>
    <row r="4533" spans="9:11" x14ac:dyDescent="0.25">
      <c r="I4533" s="86">
        <v>4532</v>
      </c>
      <c r="J4533" s="87">
        <v>1.7299452490677889</v>
      </c>
      <c r="K4533" s="87">
        <v>5.4382784032504476</v>
      </c>
    </row>
    <row r="4534" spans="9:11" x14ac:dyDescent="0.25">
      <c r="I4534" s="86">
        <v>4533</v>
      </c>
      <c r="J4534" s="87">
        <v>1.8855304869580438</v>
      </c>
      <c r="K4534" s="87">
        <v>6.6450755235875256</v>
      </c>
    </row>
    <row r="4535" spans="9:11" x14ac:dyDescent="0.25">
      <c r="I4535" s="86">
        <v>4534</v>
      </c>
      <c r="J4535" s="87">
        <v>-3.8996483483096256E-2</v>
      </c>
      <c r="K4535" s="87">
        <v>5.6528753686018316</v>
      </c>
    </row>
    <row r="4536" spans="9:11" x14ac:dyDescent="0.25">
      <c r="I4536" s="86">
        <v>4535</v>
      </c>
      <c r="J4536" s="87">
        <v>2.6045331976289434</v>
      </c>
      <c r="K4536" s="87">
        <v>7.3678491065362941</v>
      </c>
    </row>
    <row r="4537" spans="9:11" x14ac:dyDescent="0.25">
      <c r="I4537" s="86">
        <v>4536</v>
      </c>
      <c r="J4537" s="87">
        <v>1.5264745658181091</v>
      </c>
      <c r="K4537" s="87">
        <v>7.7798264821310577</v>
      </c>
    </row>
    <row r="4538" spans="9:11" x14ac:dyDescent="0.25">
      <c r="I4538" s="86">
        <v>4537</v>
      </c>
      <c r="J4538" s="87">
        <v>3.2100666434123406</v>
      </c>
      <c r="K4538" s="87">
        <v>6.0133754334396539</v>
      </c>
    </row>
    <row r="4539" spans="9:11" x14ac:dyDescent="0.25">
      <c r="I4539" s="86">
        <v>4538</v>
      </c>
      <c r="J4539" s="87">
        <v>0.88076930711682877</v>
      </c>
      <c r="K4539" s="87">
        <v>5.4644783935567212</v>
      </c>
    </row>
    <row r="4540" spans="9:11" x14ac:dyDescent="0.25">
      <c r="I4540" s="86">
        <v>4539</v>
      </c>
      <c r="J4540" s="87">
        <v>3.434590913249246</v>
      </c>
      <c r="K4540" s="87">
        <v>7.9375928497300592</v>
      </c>
    </row>
    <row r="4541" spans="9:11" x14ac:dyDescent="0.25">
      <c r="I4541" s="86">
        <v>4540</v>
      </c>
      <c r="J4541" s="87">
        <v>-0.21418944068490386</v>
      </c>
      <c r="K4541" s="87">
        <v>6.1972942938947737</v>
      </c>
    </row>
    <row r="4542" spans="9:11" x14ac:dyDescent="0.25">
      <c r="I4542" s="86">
        <v>4541</v>
      </c>
      <c r="J4542" s="87">
        <v>2.3034372462537283</v>
      </c>
      <c r="K4542" s="87">
        <v>6.1483221881375005</v>
      </c>
    </row>
    <row r="4543" spans="9:11" x14ac:dyDescent="0.25">
      <c r="I4543" s="86">
        <v>4542</v>
      </c>
      <c r="J4543" s="87">
        <v>3.1732661425273987</v>
      </c>
      <c r="K4543" s="87">
        <v>6.1550130450539458</v>
      </c>
    </row>
    <row r="4544" spans="9:11" x14ac:dyDescent="0.25">
      <c r="I4544" s="86">
        <v>4543</v>
      </c>
      <c r="J4544" s="87">
        <v>2.4794968893937135</v>
      </c>
      <c r="K4544" s="87">
        <v>7.5620436676946765</v>
      </c>
    </row>
    <row r="4545" spans="9:11" x14ac:dyDescent="0.25">
      <c r="I4545" s="86">
        <v>4544</v>
      </c>
      <c r="J4545" s="87">
        <v>4.421747386055241</v>
      </c>
      <c r="K4545" s="87">
        <v>7.2811157325276117</v>
      </c>
    </row>
    <row r="4546" spans="9:11" x14ac:dyDescent="0.25">
      <c r="I4546" s="86">
        <v>4545</v>
      </c>
      <c r="J4546" s="87">
        <v>2.5827623613208823</v>
      </c>
      <c r="K4546" s="87">
        <v>6.8322880674976432</v>
      </c>
    </row>
    <row r="4547" spans="9:11" x14ac:dyDescent="0.25">
      <c r="I4547" s="86">
        <v>4546</v>
      </c>
      <c r="J4547" s="87">
        <v>-1.7463384831823419</v>
      </c>
      <c r="K4547" s="87">
        <v>5.7700429598715379</v>
      </c>
    </row>
    <row r="4548" spans="9:11" x14ac:dyDescent="0.25">
      <c r="I4548" s="86">
        <v>4547</v>
      </c>
      <c r="J4548" s="87">
        <v>0.90620740128871891</v>
      </c>
      <c r="K4548" s="87">
        <v>6.260388380065006</v>
      </c>
    </row>
    <row r="4549" spans="9:11" x14ac:dyDescent="0.25">
      <c r="I4549" s="86">
        <v>4548</v>
      </c>
      <c r="J4549" s="87">
        <v>-0.58305057879989031</v>
      </c>
      <c r="K4549" s="87">
        <v>4.0969715916861338</v>
      </c>
    </row>
    <row r="4550" spans="9:11" x14ac:dyDescent="0.25">
      <c r="I4550" s="86">
        <v>4549</v>
      </c>
      <c r="J4550" s="87">
        <v>2.4416951379796252</v>
      </c>
      <c r="K4550" s="87">
        <v>7.4481590990424023</v>
      </c>
    </row>
    <row r="4551" spans="9:11" x14ac:dyDescent="0.25">
      <c r="I4551" s="86">
        <v>4550</v>
      </c>
      <c r="J4551" s="87">
        <v>1.9406431460971465</v>
      </c>
      <c r="K4551" s="87">
        <v>5.4531996247623669</v>
      </c>
    </row>
    <row r="4552" spans="9:11" x14ac:dyDescent="0.25">
      <c r="I4552" s="86">
        <v>4551</v>
      </c>
      <c r="J4552" s="87">
        <v>4.4057770703050743</v>
      </c>
      <c r="K4552" s="87">
        <v>8.1757682119349795</v>
      </c>
    </row>
    <row r="4553" spans="9:11" x14ac:dyDescent="0.25">
      <c r="I4553" s="86">
        <v>4552</v>
      </c>
      <c r="J4553" s="87">
        <v>1.0836734681852267</v>
      </c>
      <c r="K4553" s="87">
        <v>6.2843408686971003</v>
      </c>
    </row>
    <row r="4554" spans="9:11" x14ac:dyDescent="0.25">
      <c r="I4554" s="86">
        <v>4553</v>
      </c>
      <c r="J4554" s="87">
        <v>0.2019799500434889</v>
      </c>
      <c r="K4554" s="87">
        <v>5.8371084703437335</v>
      </c>
    </row>
    <row r="4555" spans="9:11" x14ac:dyDescent="0.25">
      <c r="I4555" s="86">
        <v>4554</v>
      </c>
      <c r="J4555" s="87">
        <v>4.9077678163694847</v>
      </c>
      <c r="K4555" s="87">
        <v>7.2051442489579962</v>
      </c>
    </row>
    <row r="4556" spans="9:11" x14ac:dyDescent="0.25">
      <c r="I4556" s="86">
        <v>4555</v>
      </c>
      <c r="J4556" s="87">
        <v>0.54693486288766469</v>
      </c>
      <c r="K4556" s="87">
        <v>7.5091839836367136</v>
      </c>
    </row>
    <row r="4557" spans="9:11" x14ac:dyDescent="0.25">
      <c r="I4557" s="86">
        <v>4556</v>
      </c>
      <c r="J4557" s="87">
        <v>0.31859060938603534</v>
      </c>
      <c r="K4557" s="87">
        <v>4.5960982743760663</v>
      </c>
    </row>
    <row r="4558" spans="9:11" x14ac:dyDescent="0.25">
      <c r="I4558" s="86">
        <v>4557</v>
      </c>
      <c r="J4558" s="87">
        <v>1.9793897709768693</v>
      </c>
      <c r="K4558" s="87">
        <v>7.5997144475718033</v>
      </c>
    </row>
    <row r="4559" spans="9:11" x14ac:dyDescent="0.25">
      <c r="I4559" s="86">
        <v>4558</v>
      </c>
      <c r="J4559" s="87">
        <v>1.369603594861931</v>
      </c>
      <c r="K4559" s="87">
        <v>6.7350927154530149</v>
      </c>
    </row>
    <row r="4560" spans="9:11" x14ac:dyDescent="0.25">
      <c r="I4560" s="86">
        <v>4559</v>
      </c>
      <c r="J4560" s="87">
        <v>0.65922233165741506</v>
      </c>
      <c r="K4560" s="87">
        <v>6.0516502043671627</v>
      </c>
    </row>
    <row r="4561" spans="9:11" x14ac:dyDescent="0.25">
      <c r="I4561" s="86">
        <v>4560</v>
      </c>
      <c r="J4561" s="87">
        <v>-2.0348800839790764</v>
      </c>
      <c r="K4561" s="87">
        <v>4.9860973659784573</v>
      </c>
    </row>
    <row r="4562" spans="9:11" x14ac:dyDescent="0.25">
      <c r="I4562" s="86">
        <v>4561</v>
      </c>
      <c r="J4562" s="87">
        <v>3.7840337838956941</v>
      </c>
      <c r="K4562" s="87">
        <v>8.1121454982103423</v>
      </c>
    </row>
    <row r="4563" spans="9:11" x14ac:dyDescent="0.25">
      <c r="I4563" s="86">
        <v>4562</v>
      </c>
      <c r="J4563" s="87">
        <v>2.1884753141639539</v>
      </c>
      <c r="K4563" s="87">
        <v>6.1374618649057791</v>
      </c>
    </row>
    <row r="4564" spans="9:11" x14ac:dyDescent="0.25">
      <c r="I4564" s="86">
        <v>4563</v>
      </c>
      <c r="J4564" s="87">
        <v>3.7251171065726094</v>
      </c>
      <c r="K4564" s="87">
        <v>8.7960751575075182</v>
      </c>
    </row>
    <row r="4565" spans="9:11" x14ac:dyDescent="0.25">
      <c r="I4565" s="86">
        <v>4564</v>
      </c>
      <c r="J4565" s="87">
        <v>2.4778952267405812</v>
      </c>
      <c r="K4565" s="87">
        <v>5.7413961189780949</v>
      </c>
    </row>
    <row r="4566" spans="9:11" x14ac:dyDescent="0.25">
      <c r="I4566" s="86">
        <v>4565</v>
      </c>
      <c r="J4566" s="87">
        <v>2.218188239336051</v>
      </c>
      <c r="K4566" s="87">
        <v>8.1353637478288938</v>
      </c>
    </row>
    <row r="4567" spans="9:11" x14ac:dyDescent="0.25">
      <c r="I4567" s="86">
        <v>4566</v>
      </c>
      <c r="J4567" s="87">
        <v>20.468371584717438</v>
      </c>
      <c r="K4567" s="87">
        <v>15.893707878126309</v>
      </c>
    </row>
    <row r="4568" spans="9:11" x14ac:dyDescent="0.25">
      <c r="I4568" s="86">
        <v>4567</v>
      </c>
      <c r="J4568" s="87">
        <v>4.5261497572343536</v>
      </c>
      <c r="K4568" s="87">
        <v>10.885475390716039</v>
      </c>
    </row>
    <row r="4569" spans="9:11" x14ac:dyDescent="0.25">
      <c r="I4569" s="86">
        <v>4568</v>
      </c>
      <c r="J4569" s="87">
        <v>4.2333240267663168</v>
      </c>
      <c r="K4569" s="87">
        <v>9.2708290186320159</v>
      </c>
    </row>
    <row r="4570" spans="9:11" x14ac:dyDescent="0.25">
      <c r="I4570" s="86">
        <v>4569</v>
      </c>
      <c r="J4570" s="87">
        <v>-1.5079705897907489</v>
      </c>
      <c r="K4570" s="87">
        <v>4.3488921324608549</v>
      </c>
    </row>
    <row r="4571" spans="9:11" x14ac:dyDescent="0.25">
      <c r="I4571" s="86">
        <v>4570</v>
      </c>
      <c r="J4571" s="87">
        <v>3.3505613643686676</v>
      </c>
      <c r="K4571" s="87">
        <v>7.5113373864994255</v>
      </c>
    </row>
    <row r="4572" spans="9:11" x14ac:dyDescent="0.25">
      <c r="I4572" s="86">
        <v>4571</v>
      </c>
      <c r="J4572" s="87">
        <v>0.54726625209528734</v>
      </c>
      <c r="K4572" s="87">
        <v>6.5078555488088137</v>
      </c>
    </row>
    <row r="4573" spans="9:11" x14ac:dyDescent="0.25">
      <c r="I4573" s="86">
        <v>4572</v>
      </c>
      <c r="J4573" s="87">
        <v>0.55403326426340094</v>
      </c>
      <c r="K4573" s="87">
        <v>5.6855554514274207</v>
      </c>
    </row>
    <row r="4574" spans="9:11" x14ac:dyDescent="0.25">
      <c r="I4574" s="86">
        <v>4573</v>
      </c>
      <c r="J4574" s="87">
        <v>2.3157797865323806</v>
      </c>
      <c r="K4574" s="87">
        <v>8.4996001654254201</v>
      </c>
    </row>
    <row r="4575" spans="9:11" x14ac:dyDescent="0.25">
      <c r="I4575" s="86">
        <v>4574</v>
      </c>
      <c r="J4575" s="87">
        <v>-1.1627852201985549</v>
      </c>
      <c r="K4575" s="87">
        <v>5.2528116506996367</v>
      </c>
    </row>
    <row r="4576" spans="9:11" x14ac:dyDescent="0.25">
      <c r="I4576" s="86">
        <v>4575</v>
      </c>
      <c r="J4576" s="87">
        <v>0.79618237423736282</v>
      </c>
      <c r="K4576" s="87">
        <v>5.7614214302262612</v>
      </c>
    </row>
    <row r="4577" spans="9:11" x14ac:dyDescent="0.25">
      <c r="I4577" s="86">
        <v>4576</v>
      </c>
      <c r="J4577" s="87">
        <v>6.1246533338946723</v>
      </c>
      <c r="K4577" s="87">
        <v>10.290473620943464</v>
      </c>
    </row>
    <row r="4578" spans="9:11" x14ac:dyDescent="0.25">
      <c r="I4578" s="86">
        <v>4577</v>
      </c>
      <c r="J4578" s="87">
        <v>0.83986808887222919</v>
      </c>
      <c r="K4578" s="87">
        <v>5.0577302220687832</v>
      </c>
    </row>
    <row r="4579" spans="9:11" x14ac:dyDescent="0.25">
      <c r="I4579" s="86">
        <v>4578</v>
      </c>
      <c r="J4579" s="87">
        <v>3.2105689902487926</v>
      </c>
      <c r="K4579" s="87">
        <v>6.4391441775381866</v>
      </c>
    </row>
    <row r="4580" spans="9:11" x14ac:dyDescent="0.25">
      <c r="I4580" s="86">
        <v>4579</v>
      </c>
      <c r="J4580" s="87">
        <v>1.7742477713315141</v>
      </c>
      <c r="K4580" s="87">
        <v>8.5738911903133097</v>
      </c>
    </row>
    <row r="4581" spans="9:11" x14ac:dyDescent="0.25">
      <c r="I4581" s="86">
        <v>4580</v>
      </c>
      <c r="J4581" s="87">
        <v>5.7618503441775548</v>
      </c>
      <c r="K4581" s="87">
        <v>7.8542625878724026</v>
      </c>
    </row>
    <row r="4582" spans="9:11" x14ac:dyDescent="0.25">
      <c r="I4582" s="86">
        <v>4581</v>
      </c>
      <c r="J4582" s="87">
        <v>1.6543424100007398</v>
      </c>
      <c r="K4582" s="87">
        <v>6.4231958528980089</v>
      </c>
    </row>
    <row r="4583" spans="9:11" x14ac:dyDescent="0.25">
      <c r="I4583" s="86">
        <v>4582</v>
      </c>
      <c r="J4583" s="87">
        <v>6.0201083647882836</v>
      </c>
      <c r="K4583" s="87">
        <v>9.2683736607706866</v>
      </c>
    </row>
    <row r="4584" spans="9:11" x14ac:dyDescent="0.25">
      <c r="I4584" s="86">
        <v>4583</v>
      </c>
      <c r="J4584" s="87">
        <v>2.1660607766415279</v>
      </c>
      <c r="K4584" s="87">
        <v>7.727528279084245</v>
      </c>
    </row>
    <row r="4585" spans="9:11" x14ac:dyDescent="0.25">
      <c r="I4585" s="86">
        <v>4584</v>
      </c>
      <c r="J4585" s="87">
        <v>2.9950034078640613</v>
      </c>
      <c r="K4585" s="87">
        <v>9.0359119907056868</v>
      </c>
    </row>
    <row r="4586" spans="9:11" x14ac:dyDescent="0.25">
      <c r="I4586" s="86">
        <v>4585</v>
      </c>
      <c r="J4586" s="87">
        <v>-0.35623787290104936</v>
      </c>
      <c r="K4586" s="87">
        <v>6.6053394576363251</v>
      </c>
    </row>
    <row r="4587" spans="9:11" x14ac:dyDescent="0.25">
      <c r="I4587" s="86">
        <v>4586</v>
      </c>
      <c r="J4587" s="87">
        <v>0.58456080094291796</v>
      </c>
      <c r="K4587" s="87">
        <v>7.8001669601587755</v>
      </c>
    </row>
    <row r="4588" spans="9:11" x14ac:dyDescent="0.25">
      <c r="I4588" s="86">
        <v>4587</v>
      </c>
      <c r="J4588" s="87">
        <v>1.7241552951630412</v>
      </c>
      <c r="K4588" s="87">
        <v>7.806866412609093</v>
      </c>
    </row>
    <row r="4589" spans="9:11" x14ac:dyDescent="0.25">
      <c r="I4589" s="86">
        <v>4588</v>
      </c>
      <c r="J4589" s="87">
        <v>0.36110288988732719</v>
      </c>
      <c r="K4589" s="87">
        <v>5.9640910482770622</v>
      </c>
    </row>
    <row r="4590" spans="9:11" x14ac:dyDescent="0.25">
      <c r="I4590" s="86">
        <v>4589</v>
      </c>
      <c r="J4590" s="87">
        <v>5.583449824120887</v>
      </c>
      <c r="K4590" s="87">
        <v>11.977524264705698</v>
      </c>
    </row>
    <row r="4591" spans="9:11" x14ac:dyDescent="0.25">
      <c r="I4591" s="86">
        <v>4590</v>
      </c>
      <c r="J4591" s="87">
        <v>1.6078792989155639</v>
      </c>
      <c r="K4591" s="87">
        <v>6.0878520088393406</v>
      </c>
    </row>
    <row r="4592" spans="9:11" x14ac:dyDescent="0.25">
      <c r="I4592" s="86">
        <v>4591</v>
      </c>
      <c r="J4592" s="87">
        <v>-1.3930588463199225</v>
      </c>
      <c r="K4592" s="87">
        <v>5.5668937045225322</v>
      </c>
    </row>
    <row r="4593" spans="9:11" x14ac:dyDescent="0.25">
      <c r="I4593" s="86">
        <v>4592</v>
      </c>
      <c r="J4593" s="87">
        <v>7.8592822693296807</v>
      </c>
      <c r="K4593" s="87">
        <v>10.498496241393051</v>
      </c>
    </row>
    <row r="4594" spans="9:11" x14ac:dyDescent="0.25">
      <c r="I4594" s="86">
        <v>4593</v>
      </c>
      <c r="J4594" s="87">
        <v>-0.55597867983839055</v>
      </c>
      <c r="K4594" s="87">
        <v>5.3636638876242051</v>
      </c>
    </row>
    <row r="4595" spans="9:11" x14ac:dyDescent="0.25">
      <c r="I4595" s="86">
        <v>4594</v>
      </c>
      <c r="J4595" s="87">
        <v>1.9497141890230099</v>
      </c>
      <c r="K4595" s="87">
        <v>7.6391295333616851</v>
      </c>
    </row>
    <row r="4596" spans="9:11" x14ac:dyDescent="0.25">
      <c r="I4596" s="86">
        <v>4595</v>
      </c>
      <c r="J4596" s="87">
        <v>3.8902758256564898</v>
      </c>
      <c r="K4596" s="87">
        <v>8.6619896625175841</v>
      </c>
    </row>
    <row r="4597" spans="9:11" x14ac:dyDescent="0.25">
      <c r="I4597" s="86">
        <v>4596</v>
      </c>
      <c r="J4597" s="87">
        <v>-0.86505778163637181</v>
      </c>
      <c r="K4597" s="87">
        <v>6.1972688983089723</v>
      </c>
    </row>
    <row r="4598" spans="9:11" x14ac:dyDescent="0.25">
      <c r="I4598" s="86">
        <v>4597</v>
      </c>
      <c r="J4598" s="87">
        <v>3.5007502678861835</v>
      </c>
      <c r="K4598" s="87">
        <v>9.8266523487633961</v>
      </c>
    </row>
    <row r="4599" spans="9:11" x14ac:dyDescent="0.25">
      <c r="I4599" s="86">
        <v>4598</v>
      </c>
      <c r="J4599" s="87">
        <v>-1.1766204007556187</v>
      </c>
      <c r="K4599" s="87">
        <v>5.6637616228487992</v>
      </c>
    </row>
    <row r="4600" spans="9:11" x14ac:dyDescent="0.25">
      <c r="I4600" s="86">
        <v>4599</v>
      </c>
      <c r="J4600" s="87">
        <v>0.74214509540448681</v>
      </c>
      <c r="K4600" s="87">
        <v>5.9956876248985607</v>
      </c>
    </row>
    <row r="4601" spans="9:11" x14ac:dyDescent="0.25">
      <c r="I4601" s="86">
        <v>4600</v>
      </c>
      <c r="J4601" s="87">
        <v>2.1777766114271842</v>
      </c>
      <c r="K4601" s="87">
        <v>6.9645575360184422</v>
      </c>
    </row>
    <row r="4602" spans="9:11" x14ac:dyDescent="0.25">
      <c r="I4602" s="86">
        <v>4601</v>
      </c>
      <c r="J4602" s="87">
        <v>1.4150528526585777</v>
      </c>
      <c r="K4602" s="87">
        <v>8.2400275249179575</v>
      </c>
    </row>
    <row r="4603" spans="9:11" x14ac:dyDescent="0.25">
      <c r="I4603" s="86">
        <v>4602</v>
      </c>
      <c r="J4603" s="87">
        <v>2.7088167637185174</v>
      </c>
      <c r="K4603" s="87">
        <v>8.8576920935546966</v>
      </c>
    </row>
    <row r="4604" spans="9:11" x14ac:dyDescent="0.25">
      <c r="I4604" s="86">
        <v>4603</v>
      </c>
      <c r="J4604" s="87">
        <v>1.8544515608486849</v>
      </c>
      <c r="K4604" s="87">
        <v>5.0573969708656534</v>
      </c>
    </row>
    <row r="4605" spans="9:11" x14ac:dyDescent="0.25">
      <c r="I4605" s="86">
        <v>4604</v>
      </c>
      <c r="J4605" s="87">
        <v>0.57372287853166171</v>
      </c>
      <c r="K4605" s="87">
        <v>6.7701123382148163</v>
      </c>
    </row>
    <row r="4606" spans="9:11" x14ac:dyDescent="0.25">
      <c r="I4606" s="86">
        <v>4605</v>
      </c>
      <c r="J4606" s="87">
        <v>3.7046392187650588</v>
      </c>
      <c r="K4606" s="87">
        <v>5.9354783293218345</v>
      </c>
    </row>
    <row r="4607" spans="9:11" x14ac:dyDescent="0.25">
      <c r="I4607" s="86">
        <v>4606</v>
      </c>
      <c r="J4607" s="87">
        <v>1.257281362894564</v>
      </c>
      <c r="K4607" s="87">
        <v>6.1805584818088226</v>
      </c>
    </row>
    <row r="4608" spans="9:11" x14ac:dyDescent="0.25">
      <c r="I4608" s="86">
        <v>4607</v>
      </c>
      <c r="J4608" s="87">
        <v>0.93931486625889615</v>
      </c>
      <c r="K4608" s="87">
        <v>6.9100142731799084</v>
      </c>
    </row>
    <row r="4609" spans="9:11" x14ac:dyDescent="0.25">
      <c r="I4609" s="86">
        <v>4608</v>
      </c>
      <c r="J4609" s="87">
        <v>1.4493478507562738</v>
      </c>
      <c r="K4609" s="87">
        <v>7.6281297522685696</v>
      </c>
    </row>
    <row r="4610" spans="9:11" x14ac:dyDescent="0.25">
      <c r="I4610" s="86">
        <v>4609</v>
      </c>
      <c r="J4610" s="87">
        <v>-1.0494269504799947</v>
      </c>
      <c r="K4610" s="87">
        <v>4.5553886825043897</v>
      </c>
    </row>
    <row r="4611" spans="9:11" x14ac:dyDescent="0.25">
      <c r="I4611" s="86">
        <v>4610</v>
      </c>
      <c r="J4611" s="87">
        <v>-1.1929697762312959</v>
      </c>
      <c r="K4611" s="87">
        <v>5.0859429819223694</v>
      </c>
    </row>
    <row r="4612" spans="9:11" x14ac:dyDescent="0.25">
      <c r="I4612" s="86">
        <v>4611</v>
      </c>
      <c r="J4612" s="87">
        <v>0.34150484286121952</v>
      </c>
      <c r="K4612" s="87">
        <v>5.7333277677891692</v>
      </c>
    </row>
    <row r="4613" spans="9:11" x14ac:dyDescent="0.25">
      <c r="I4613" s="86">
        <v>4612</v>
      </c>
      <c r="J4613" s="87">
        <v>3.9390574016082116</v>
      </c>
      <c r="K4613" s="87">
        <v>8.779945480658121</v>
      </c>
    </row>
    <row r="4614" spans="9:11" x14ac:dyDescent="0.25">
      <c r="I4614" s="86">
        <v>4613</v>
      </c>
      <c r="J4614" s="87">
        <v>0.81449248205143476</v>
      </c>
      <c r="K4614" s="87">
        <v>7.11104023357864</v>
      </c>
    </row>
    <row r="4615" spans="9:11" x14ac:dyDescent="0.25">
      <c r="I4615" s="86">
        <v>4614</v>
      </c>
      <c r="J4615" s="87">
        <v>-0.92053767346631865</v>
      </c>
      <c r="K4615" s="87">
        <v>4.3131074678845724</v>
      </c>
    </row>
    <row r="4616" spans="9:11" x14ac:dyDescent="0.25">
      <c r="I4616" s="86">
        <v>4615</v>
      </c>
      <c r="J4616" s="87">
        <v>7.9718249630827334</v>
      </c>
      <c r="K4616" s="87">
        <v>10.606993970023831</v>
      </c>
    </row>
    <row r="4617" spans="9:11" x14ac:dyDescent="0.25">
      <c r="I4617" s="86">
        <v>4616</v>
      </c>
      <c r="J4617" s="87">
        <v>1.5040455840427844</v>
      </c>
      <c r="K4617" s="87">
        <v>6.7665683819508562</v>
      </c>
    </row>
    <row r="4618" spans="9:11" x14ac:dyDescent="0.25">
      <c r="I4618" s="86">
        <v>4617</v>
      </c>
      <c r="J4618" s="87">
        <v>6.3186763451322054</v>
      </c>
      <c r="K4618" s="87">
        <v>9.6180166368366198</v>
      </c>
    </row>
    <row r="4619" spans="9:11" x14ac:dyDescent="0.25">
      <c r="I4619" s="86">
        <v>4618</v>
      </c>
      <c r="J4619" s="87">
        <v>1.0122729540046489</v>
      </c>
      <c r="K4619" s="87">
        <v>7.7905407981027306</v>
      </c>
    </row>
    <row r="4620" spans="9:11" x14ac:dyDescent="0.25">
      <c r="I4620" s="86">
        <v>4619</v>
      </c>
      <c r="J4620" s="87">
        <v>-0.36556101242883088</v>
      </c>
      <c r="K4620" s="87">
        <v>5.0965829765830328</v>
      </c>
    </row>
    <row r="4621" spans="9:11" x14ac:dyDescent="0.25">
      <c r="I4621" s="86">
        <v>4620</v>
      </c>
      <c r="J4621" s="87">
        <v>0.53552816849629359</v>
      </c>
      <c r="K4621" s="87">
        <v>6.1570918734136368</v>
      </c>
    </row>
    <row r="4622" spans="9:11" x14ac:dyDescent="0.25">
      <c r="I4622" s="86">
        <v>4621</v>
      </c>
      <c r="J4622" s="87">
        <v>1.3837362227105876</v>
      </c>
      <c r="K4622" s="87">
        <v>6.68031444881633</v>
      </c>
    </row>
    <row r="4623" spans="9:11" x14ac:dyDescent="0.25">
      <c r="I4623" s="86">
        <v>4622</v>
      </c>
      <c r="J4623" s="87">
        <v>0.29719263392733097</v>
      </c>
      <c r="K4623" s="87">
        <v>6.0370291245701067</v>
      </c>
    </row>
    <row r="4624" spans="9:11" x14ac:dyDescent="0.25">
      <c r="I4624" s="86">
        <v>4623</v>
      </c>
      <c r="J4624" s="87">
        <v>2.6667159430805052</v>
      </c>
      <c r="K4624" s="87">
        <v>8.4355033777128838</v>
      </c>
    </row>
    <row r="4625" spans="9:11" x14ac:dyDescent="0.25">
      <c r="I4625" s="86">
        <v>4624</v>
      </c>
      <c r="J4625" s="87">
        <v>1.7417163189662599</v>
      </c>
      <c r="K4625" s="87">
        <v>5.7657927542032557</v>
      </c>
    </row>
    <row r="4626" spans="9:11" x14ac:dyDescent="0.25">
      <c r="I4626" s="86">
        <v>4625</v>
      </c>
      <c r="J4626" s="87">
        <v>0.91460726377938606</v>
      </c>
      <c r="K4626" s="87">
        <v>6.6673638112514624</v>
      </c>
    </row>
    <row r="4627" spans="9:11" x14ac:dyDescent="0.25">
      <c r="I4627" s="86">
        <v>4626</v>
      </c>
      <c r="J4627" s="87">
        <v>2.1467031355291928</v>
      </c>
      <c r="K4627" s="87">
        <v>7.1886095436346134</v>
      </c>
    </row>
    <row r="4628" spans="9:11" x14ac:dyDescent="0.25">
      <c r="I4628" s="86">
        <v>4627</v>
      </c>
      <c r="J4628" s="87">
        <v>4.4826647116950751</v>
      </c>
      <c r="K4628" s="87">
        <v>7.6749513412699679</v>
      </c>
    </row>
    <row r="4629" spans="9:11" x14ac:dyDescent="0.25">
      <c r="I4629" s="86">
        <v>4628</v>
      </c>
      <c r="J4629" s="87">
        <v>-1.8566277318717375</v>
      </c>
      <c r="K4629" s="87">
        <v>4.2942796076054623</v>
      </c>
    </row>
    <row r="4630" spans="9:11" x14ac:dyDescent="0.25">
      <c r="I4630" s="86">
        <v>4629</v>
      </c>
      <c r="J4630" s="87">
        <v>0.8923703662921092</v>
      </c>
      <c r="K4630" s="87">
        <v>6.2045443845632207</v>
      </c>
    </row>
    <row r="4631" spans="9:11" x14ac:dyDescent="0.25">
      <c r="I4631" s="86">
        <v>4630</v>
      </c>
      <c r="J4631" s="87">
        <v>-3.0365112159497443E-2</v>
      </c>
      <c r="K4631" s="87">
        <v>5.2324170743678629</v>
      </c>
    </row>
    <row r="4632" spans="9:11" x14ac:dyDescent="0.25">
      <c r="I4632" s="86">
        <v>4631</v>
      </c>
      <c r="J4632" s="87">
        <v>4.5434545982193173</v>
      </c>
      <c r="K4632" s="87">
        <v>8.2346882608688059</v>
      </c>
    </row>
    <row r="4633" spans="9:11" x14ac:dyDescent="0.25">
      <c r="I4633" s="86">
        <v>4632</v>
      </c>
      <c r="J4633" s="87">
        <v>-1.125253391742131</v>
      </c>
      <c r="K4633" s="87">
        <v>4.7612985972427788</v>
      </c>
    </row>
    <row r="4634" spans="9:11" x14ac:dyDescent="0.25">
      <c r="I4634" s="86">
        <v>4633</v>
      </c>
      <c r="J4634" s="87">
        <v>1.3366329735206683E-2</v>
      </c>
      <c r="K4634" s="87">
        <v>5.4864226178679258</v>
      </c>
    </row>
    <row r="4635" spans="9:11" x14ac:dyDescent="0.25">
      <c r="I4635" s="86">
        <v>4634</v>
      </c>
      <c r="J4635" s="87">
        <v>1.3185697880495484</v>
      </c>
      <c r="K4635" s="87">
        <v>5.9829694575837236</v>
      </c>
    </row>
    <row r="4636" spans="9:11" x14ac:dyDescent="0.25">
      <c r="I4636" s="86">
        <v>4635</v>
      </c>
      <c r="J4636" s="87">
        <v>-0.1791670945795989</v>
      </c>
      <c r="K4636" s="87">
        <v>6.1241488542749956</v>
      </c>
    </row>
    <row r="4637" spans="9:11" x14ac:dyDescent="0.25">
      <c r="I4637" s="86">
        <v>4636</v>
      </c>
      <c r="J4637" s="87">
        <v>2.9832830825398506</v>
      </c>
      <c r="K4637" s="87">
        <v>7.1932947673092258</v>
      </c>
    </row>
    <row r="4638" spans="9:11" x14ac:dyDescent="0.25">
      <c r="I4638" s="86">
        <v>4637</v>
      </c>
      <c r="J4638" s="87">
        <v>7.6970107456832082E-2</v>
      </c>
      <c r="K4638" s="87">
        <v>5.5673072926662863</v>
      </c>
    </row>
    <row r="4639" spans="9:11" x14ac:dyDescent="0.25">
      <c r="I4639" s="86">
        <v>4638</v>
      </c>
      <c r="J4639" s="87">
        <v>0.41073068246020128</v>
      </c>
      <c r="K4639" s="87">
        <v>6.72687551714173</v>
      </c>
    </row>
    <row r="4640" spans="9:11" x14ac:dyDescent="0.25">
      <c r="I4640" s="86">
        <v>4639</v>
      </c>
      <c r="J4640" s="87">
        <v>1.2458726780631935</v>
      </c>
      <c r="K4640" s="87">
        <v>6.3927229002897947</v>
      </c>
    </row>
    <row r="4641" spans="9:11" x14ac:dyDescent="0.25">
      <c r="I4641" s="86">
        <v>4640</v>
      </c>
      <c r="J4641" s="87">
        <v>2.9950985293963215</v>
      </c>
      <c r="K4641" s="87">
        <v>5.2125727112146647</v>
      </c>
    </row>
    <row r="4642" spans="9:11" x14ac:dyDescent="0.25">
      <c r="I4642" s="86">
        <v>4641</v>
      </c>
      <c r="J4642" s="87">
        <v>2.0390066902155706</v>
      </c>
      <c r="K4642" s="87">
        <v>8.2459436321664406</v>
      </c>
    </row>
    <row r="4643" spans="9:11" x14ac:dyDescent="0.25">
      <c r="I4643" s="86">
        <v>4642</v>
      </c>
      <c r="J4643" s="87">
        <v>0.2806435235348248</v>
      </c>
      <c r="K4643" s="87">
        <v>6.8831205737757069</v>
      </c>
    </row>
    <row r="4644" spans="9:11" x14ac:dyDescent="0.25">
      <c r="I4644" s="86">
        <v>4643</v>
      </c>
      <c r="J4644" s="87">
        <v>-0.19935421495376016</v>
      </c>
      <c r="K4644" s="87">
        <v>5.8213489745053755</v>
      </c>
    </row>
    <row r="4645" spans="9:11" x14ac:dyDescent="0.25">
      <c r="I4645" s="86">
        <v>4644</v>
      </c>
      <c r="J4645" s="87">
        <v>1.5758042134365864</v>
      </c>
      <c r="K4645" s="87">
        <v>9.296498716684976</v>
      </c>
    </row>
    <row r="4646" spans="9:11" x14ac:dyDescent="0.25">
      <c r="I4646" s="86">
        <v>4645</v>
      </c>
      <c r="J4646" s="87">
        <v>2.0534237167241809</v>
      </c>
      <c r="K4646" s="87">
        <v>8.6030897321143662</v>
      </c>
    </row>
    <row r="4647" spans="9:11" x14ac:dyDescent="0.25">
      <c r="I4647" s="86">
        <v>4646</v>
      </c>
      <c r="J4647" s="87">
        <v>-0.76112205334126237</v>
      </c>
      <c r="K4647" s="87">
        <v>5.0539744186325617</v>
      </c>
    </row>
    <row r="4648" spans="9:11" x14ac:dyDescent="0.25">
      <c r="I4648" s="86">
        <v>4647</v>
      </c>
      <c r="J4648" s="87">
        <v>0.98627504795375254</v>
      </c>
      <c r="K4648" s="87">
        <v>5.9644833314951722</v>
      </c>
    </row>
    <row r="4649" spans="9:11" x14ac:dyDescent="0.25">
      <c r="I4649" s="86">
        <v>4648</v>
      </c>
      <c r="J4649" s="87">
        <v>3.1922200537574685</v>
      </c>
      <c r="K4649" s="87">
        <v>7.9287731356050921</v>
      </c>
    </row>
    <row r="4650" spans="9:11" x14ac:dyDescent="0.25">
      <c r="I4650" s="86">
        <v>4649</v>
      </c>
      <c r="J4650" s="87">
        <v>1.1460274515996147</v>
      </c>
      <c r="K4650" s="87">
        <v>8.4305942459622791</v>
      </c>
    </row>
    <row r="4651" spans="9:11" x14ac:dyDescent="0.25">
      <c r="I4651" s="86">
        <v>4650</v>
      </c>
      <c r="J4651" s="87">
        <v>0.63333680008889903</v>
      </c>
      <c r="K4651" s="87">
        <v>5.6834722486142493</v>
      </c>
    </row>
    <row r="4652" spans="9:11" x14ac:dyDescent="0.25">
      <c r="I4652" s="86">
        <v>4651</v>
      </c>
      <c r="J4652" s="87">
        <v>-1.151084207214037E-2</v>
      </c>
      <c r="K4652" s="87">
        <v>5.7102497832202328</v>
      </c>
    </row>
    <row r="4653" spans="9:11" x14ac:dyDescent="0.25">
      <c r="I4653" s="86">
        <v>4652</v>
      </c>
      <c r="J4653" s="87">
        <v>-1.144448117736812</v>
      </c>
      <c r="K4653" s="87">
        <v>5.1740404372390936</v>
      </c>
    </row>
    <row r="4654" spans="9:11" x14ac:dyDescent="0.25">
      <c r="I4654" s="86">
        <v>4653</v>
      </c>
      <c r="J4654" s="87">
        <v>-0.54449561698906823</v>
      </c>
      <c r="K4654" s="87">
        <v>5.3609998510615977</v>
      </c>
    </row>
    <row r="4655" spans="9:11" x14ac:dyDescent="0.25">
      <c r="I4655" s="86">
        <v>4654</v>
      </c>
      <c r="J4655" s="87">
        <v>3.5457531947453411</v>
      </c>
      <c r="K4655" s="87">
        <v>7.195040226554374</v>
      </c>
    </row>
    <row r="4656" spans="9:11" x14ac:dyDescent="0.25">
      <c r="I4656" s="86">
        <v>4655</v>
      </c>
      <c r="J4656" s="87">
        <v>0.78459689825567747</v>
      </c>
      <c r="K4656" s="87">
        <v>7.2326684518274238</v>
      </c>
    </row>
    <row r="4657" spans="9:11" x14ac:dyDescent="0.25">
      <c r="I4657" s="86">
        <v>4656</v>
      </c>
      <c r="J4657" s="87">
        <v>0.93881119306423244</v>
      </c>
      <c r="K4657" s="87">
        <v>8.6835442287673903</v>
      </c>
    </row>
    <row r="4658" spans="9:11" x14ac:dyDescent="0.25">
      <c r="I4658" s="86">
        <v>4657</v>
      </c>
      <c r="J4658" s="87">
        <v>3.4202287719647417</v>
      </c>
      <c r="K4658" s="87">
        <v>8.1625695954971764</v>
      </c>
    </row>
    <row r="4659" spans="9:11" x14ac:dyDescent="0.25">
      <c r="I4659" s="86">
        <v>4658</v>
      </c>
      <c r="J4659" s="87">
        <v>0.73974050843612993</v>
      </c>
      <c r="K4659" s="87">
        <v>6.4234085550604201</v>
      </c>
    </row>
    <row r="4660" spans="9:11" x14ac:dyDescent="0.25">
      <c r="I4660" s="86">
        <v>4659</v>
      </c>
      <c r="J4660" s="87">
        <v>0.36990289637482832</v>
      </c>
      <c r="K4660" s="87">
        <v>5.4922881746168324</v>
      </c>
    </row>
    <row r="4661" spans="9:11" x14ac:dyDescent="0.25">
      <c r="I4661" s="86">
        <v>4660</v>
      </c>
      <c r="J4661" s="87">
        <v>8.1599440698284855</v>
      </c>
      <c r="K4661" s="87">
        <v>9.8492508688733089</v>
      </c>
    </row>
    <row r="4662" spans="9:11" x14ac:dyDescent="0.25">
      <c r="I4662" s="86">
        <v>4661</v>
      </c>
      <c r="J4662" s="87">
        <v>1.5699235400480145</v>
      </c>
      <c r="K4662" s="87">
        <v>6.2807964600016373</v>
      </c>
    </row>
    <row r="4663" spans="9:11" x14ac:dyDescent="0.25">
      <c r="I4663" s="86">
        <v>4662</v>
      </c>
      <c r="J4663" s="87">
        <v>1.0365891584398339</v>
      </c>
      <c r="K4663" s="87">
        <v>9.1241044622178862</v>
      </c>
    </row>
    <row r="4664" spans="9:11" x14ac:dyDescent="0.25">
      <c r="I4664" s="86">
        <v>4663</v>
      </c>
      <c r="J4664" s="87">
        <v>5.3627903027312609</v>
      </c>
      <c r="K4664" s="87">
        <v>8.5349225599643344</v>
      </c>
    </row>
    <row r="4665" spans="9:11" x14ac:dyDescent="0.25">
      <c r="I4665" s="86">
        <v>4664</v>
      </c>
      <c r="J4665" s="87">
        <v>1.1007591224174709</v>
      </c>
      <c r="K4665" s="87">
        <v>7.1473553497136972</v>
      </c>
    </row>
    <row r="4666" spans="9:11" x14ac:dyDescent="0.25">
      <c r="I4666" s="86">
        <v>4665</v>
      </c>
      <c r="J4666" s="87">
        <v>7.0362558689266894</v>
      </c>
      <c r="K4666" s="87">
        <v>10.462629292664539</v>
      </c>
    </row>
    <row r="4667" spans="9:11" x14ac:dyDescent="0.25">
      <c r="I4667" s="86">
        <v>4666</v>
      </c>
      <c r="J4667" s="87">
        <v>1.2045345211024809</v>
      </c>
      <c r="K4667" s="87">
        <v>6.6790083410351198</v>
      </c>
    </row>
    <row r="4668" spans="9:11" x14ac:dyDescent="0.25">
      <c r="I4668" s="86">
        <v>4667</v>
      </c>
      <c r="J4668" s="87">
        <v>0.24645317805532407</v>
      </c>
      <c r="K4668" s="87">
        <v>4.698416252327708</v>
      </c>
    </row>
    <row r="4669" spans="9:11" x14ac:dyDescent="0.25">
      <c r="I4669" s="86">
        <v>4668</v>
      </c>
      <c r="J4669" s="87">
        <v>1.2370608782318007</v>
      </c>
      <c r="K4669" s="87">
        <v>7.8823790264912237</v>
      </c>
    </row>
    <row r="4670" spans="9:11" x14ac:dyDescent="0.25">
      <c r="I4670" s="86">
        <v>4669</v>
      </c>
      <c r="J4670" s="87">
        <v>1.7704355185406175</v>
      </c>
      <c r="K4670" s="87">
        <v>6.1921934734079391</v>
      </c>
    </row>
    <row r="4671" spans="9:11" x14ac:dyDescent="0.25">
      <c r="I4671" s="86">
        <v>4670</v>
      </c>
      <c r="J4671" s="87">
        <v>2.2636712494850277</v>
      </c>
      <c r="K4671" s="87">
        <v>7.3994807750891951</v>
      </c>
    </row>
    <row r="4672" spans="9:11" x14ac:dyDescent="0.25">
      <c r="I4672" s="86">
        <v>4671</v>
      </c>
      <c r="J4672" s="87">
        <v>3.0786592697710145</v>
      </c>
      <c r="K4672" s="87">
        <v>7.4056621911137102</v>
      </c>
    </row>
    <row r="4673" spans="9:11" x14ac:dyDescent="0.25">
      <c r="I4673" s="86">
        <v>4672</v>
      </c>
      <c r="J4673" s="87">
        <v>0.98219727016768532</v>
      </c>
      <c r="K4673" s="87">
        <v>5.9720619964910906</v>
      </c>
    </row>
    <row r="4674" spans="9:11" x14ac:dyDescent="0.25">
      <c r="I4674" s="86">
        <v>4673</v>
      </c>
      <c r="J4674" s="87">
        <v>-0.4760950558505419</v>
      </c>
      <c r="K4674" s="87">
        <v>5.6489319933653563</v>
      </c>
    </row>
    <row r="4675" spans="9:11" x14ac:dyDescent="0.25">
      <c r="I4675" s="86">
        <v>4674</v>
      </c>
      <c r="J4675" s="87">
        <v>-1.0591184661809607</v>
      </c>
      <c r="K4675" s="87">
        <v>4.5228910746761777</v>
      </c>
    </row>
    <row r="4676" spans="9:11" x14ac:dyDescent="0.25">
      <c r="I4676" s="86">
        <v>4675</v>
      </c>
      <c r="J4676" s="87">
        <v>1.9018203289775641</v>
      </c>
      <c r="K4676" s="87">
        <v>5.453727954168424</v>
      </c>
    </row>
    <row r="4677" spans="9:11" x14ac:dyDescent="0.25">
      <c r="I4677" s="86">
        <v>4676</v>
      </c>
      <c r="J4677" s="87">
        <v>1.4741353070713954</v>
      </c>
      <c r="K4677" s="87">
        <v>7.5631173169281736</v>
      </c>
    </row>
    <row r="4678" spans="9:11" x14ac:dyDescent="0.25">
      <c r="I4678" s="86">
        <v>4677</v>
      </c>
      <c r="J4678" s="87">
        <v>1.4624888917844103</v>
      </c>
      <c r="K4678" s="87">
        <v>5.1966111196666009</v>
      </c>
    </row>
    <row r="4679" spans="9:11" x14ac:dyDescent="0.25">
      <c r="I4679" s="86">
        <v>4678</v>
      </c>
      <c r="J4679" s="87">
        <v>1.6548712193610227</v>
      </c>
      <c r="K4679" s="87">
        <v>7.2546268370960423</v>
      </c>
    </row>
    <row r="4680" spans="9:11" x14ac:dyDescent="0.25">
      <c r="I4680" s="86">
        <v>4679</v>
      </c>
      <c r="J4680" s="87">
        <v>1.1159490849968026</v>
      </c>
      <c r="K4680" s="87">
        <v>5.6051571564969667</v>
      </c>
    </row>
    <row r="4681" spans="9:11" x14ac:dyDescent="0.25">
      <c r="I4681" s="86">
        <v>4680</v>
      </c>
      <c r="J4681" s="87">
        <v>1.2482210989069595</v>
      </c>
      <c r="K4681" s="87">
        <v>5.9540571405973655</v>
      </c>
    </row>
    <row r="4682" spans="9:11" x14ac:dyDescent="0.25">
      <c r="I4682" s="86">
        <v>4681</v>
      </c>
      <c r="J4682" s="87">
        <v>0.4832158930058954</v>
      </c>
      <c r="K4682" s="87">
        <v>6.427150589876673</v>
      </c>
    </row>
    <row r="4683" spans="9:11" x14ac:dyDescent="0.25">
      <c r="I4683" s="86">
        <v>4682</v>
      </c>
      <c r="J4683" s="87">
        <v>1.77403525632519</v>
      </c>
      <c r="K4683" s="87">
        <v>5.616021616052012</v>
      </c>
    </row>
    <row r="4684" spans="9:11" x14ac:dyDescent="0.25">
      <c r="I4684" s="86">
        <v>4683</v>
      </c>
      <c r="J4684" s="87">
        <v>0.11519179884886022</v>
      </c>
      <c r="K4684" s="87">
        <v>6.2810971479983042</v>
      </c>
    </row>
    <row r="4685" spans="9:11" x14ac:dyDescent="0.25">
      <c r="I4685" s="86">
        <v>4684</v>
      </c>
      <c r="J4685" s="87">
        <v>4.3230541203614941</v>
      </c>
      <c r="K4685" s="87">
        <v>9.021959905114814</v>
      </c>
    </row>
    <row r="4686" spans="9:11" x14ac:dyDescent="0.25">
      <c r="I4686" s="86">
        <v>4685</v>
      </c>
      <c r="J4686" s="87">
        <v>9.7527325879955384E-2</v>
      </c>
      <c r="K4686" s="87">
        <v>5.2233451394579875</v>
      </c>
    </row>
    <row r="4687" spans="9:11" x14ac:dyDescent="0.25">
      <c r="I4687" s="86">
        <v>4686</v>
      </c>
      <c r="J4687" s="87">
        <v>-1.1476704203907602</v>
      </c>
      <c r="K4687" s="87">
        <v>6.6733065116063273</v>
      </c>
    </row>
    <row r="4688" spans="9:11" x14ac:dyDescent="0.25">
      <c r="I4688" s="86">
        <v>4687</v>
      </c>
      <c r="J4688" s="87">
        <v>11.869136688973215</v>
      </c>
      <c r="K4688" s="87">
        <v>12.601566991636764</v>
      </c>
    </row>
    <row r="4689" spans="9:11" x14ac:dyDescent="0.25">
      <c r="I4689" s="86">
        <v>4688</v>
      </c>
      <c r="J4689" s="87">
        <v>1.1775981578695003</v>
      </c>
      <c r="K4689" s="87">
        <v>7.055671446314018</v>
      </c>
    </row>
    <row r="4690" spans="9:11" x14ac:dyDescent="0.25">
      <c r="I4690" s="86">
        <v>4689</v>
      </c>
      <c r="J4690" s="87">
        <v>3.1411837592279763</v>
      </c>
      <c r="K4690" s="87">
        <v>7.5165162383810777</v>
      </c>
    </row>
    <row r="4691" spans="9:11" x14ac:dyDescent="0.25">
      <c r="I4691" s="86">
        <v>4690</v>
      </c>
      <c r="J4691" s="87">
        <v>2.5680831961331512</v>
      </c>
      <c r="K4691" s="87">
        <v>7.8017588138252689</v>
      </c>
    </row>
    <row r="4692" spans="9:11" x14ac:dyDescent="0.25">
      <c r="I4692" s="86">
        <v>4691</v>
      </c>
      <c r="J4692" s="87">
        <v>-3.5032877959862545</v>
      </c>
      <c r="K4692" s="87">
        <v>4.2486842307304906</v>
      </c>
    </row>
    <row r="4693" spans="9:11" x14ac:dyDescent="0.25">
      <c r="I4693" s="86">
        <v>4692</v>
      </c>
      <c r="J4693" s="87">
        <v>1.3465875987457725</v>
      </c>
      <c r="K4693" s="87">
        <v>6.5999931029404761</v>
      </c>
    </row>
    <row r="4694" spans="9:11" x14ac:dyDescent="0.25">
      <c r="I4694" s="86">
        <v>4693</v>
      </c>
      <c r="J4694" s="87">
        <v>2.6111857061491923</v>
      </c>
      <c r="K4694" s="87">
        <v>6.8393274849158843</v>
      </c>
    </row>
    <row r="4695" spans="9:11" x14ac:dyDescent="0.25">
      <c r="I4695" s="86">
        <v>4694</v>
      </c>
      <c r="J4695" s="87">
        <v>2.1166982410558681</v>
      </c>
      <c r="K4695" s="87">
        <v>8.8544270186123892</v>
      </c>
    </row>
    <row r="4696" spans="9:11" x14ac:dyDescent="0.25">
      <c r="I4696" s="86">
        <v>4695</v>
      </c>
      <c r="J4696" s="87">
        <v>1.1435596014903879</v>
      </c>
      <c r="K4696" s="87">
        <v>6.035714871439267</v>
      </c>
    </row>
    <row r="4697" spans="9:11" x14ac:dyDescent="0.25">
      <c r="I4697" s="86">
        <v>4696</v>
      </c>
      <c r="J4697" s="87">
        <v>1.6805790087065615</v>
      </c>
      <c r="K4697" s="87">
        <v>7.7300515909405458</v>
      </c>
    </row>
    <row r="4698" spans="9:11" x14ac:dyDescent="0.25">
      <c r="I4698" s="86">
        <v>4697</v>
      </c>
      <c r="J4698" s="87">
        <v>4.1600700962307382</v>
      </c>
      <c r="K4698" s="87">
        <v>8.4938704767120505</v>
      </c>
    </row>
    <row r="4699" spans="9:11" x14ac:dyDescent="0.25">
      <c r="I4699" s="86">
        <v>4698</v>
      </c>
      <c r="J4699" s="87">
        <v>0.10162074303842861</v>
      </c>
      <c r="K4699" s="87">
        <v>5.1259566415531506</v>
      </c>
    </row>
    <row r="4700" spans="9:11" x14ac:dyDescent="0.25">
      <c r="I4700" s="86">
        <v>4699</v>
      </c>
      <c r="J4700" s="87">
        <v>0.98564316978609856</v>
      </c>
      <c r="K4700" s="87">
        <v>7.9789562258852174</v>
      </c>
    </row>
    <row r="4701" spans="9:11" x14ac:dyDescent="0.25">
      <c r="I4701" s="86">
        <v>4700</v>
      </c>
      <c r="J4701" s="87">
        <v>0.36179939894535007</v>
      </c>
      <c r="K4701" s="87">
        <v>5.77430867063529</v>
      </c>
    </row>
    <row r="4702" spans="9:11" x14ac:dyDescent="0.25">
      <c r="I4702" s="86">
        <v>4701</v>
      </c>
      <c r="J4702" s="87">
        <v>2.4891823119694045</v>
      </c>
      <c r="K4702" s="87">
        <v>7.5005342439668432</v>
      </c>
    </row>
    <row r="4703" spans="9:11" x14ac:dyDescent="0.25">
      <c r="I4703" s="86">
        <v>4702</v>
      </c>
      <c r="J4703" s="87">
        <v>4.5264392294333842</v>
      </c>
      <c r="K4703" s="87">
        <v>10.705482261665351</v>
      </c>
    </row>
    <row r="4704" spans="9:11" x14ac:dyDescent="0.25">
      <c r="I4704" s="86">
        <v>4703</v>
      </c>
      <c r="J4704" s="87">
        <v>-0.20841242117118597</v>
      </c>
      <c r="K4704" s="87">
        <v>5.2186550266886087</v>
      </c>
    </row>
    <row r="4705" spans="9:11" x14ac:dyDescent="0.25">
      <c r="I4705" s="86">
        <v>4704</v>
      </c>
      <c r="J4705" s="87">
        <v>1.0783087315471951</v>
      </c>
      <c r="K4705" s="87">
        <v>4.8580270878834542</v>
      </c>
    </row>
    <row r="4706" spans="9:11" x14ac:dyDescent="0.25">
      <c r="I4706" s="86">
        <v>4705</v>
      </c>
      <c r="J4706" s="87">
        <v>3.8459789089690375</v>
      </c>
      <c r="K4706" s="87">
        <v>10.125042788312641</v>
      </c>
    </row>
    <row r="4707" spans="9:11" x14ac:dyDescent="0.25">
      <c r="I4707" s="86">
        <v>4706</v>
      </c>
      <c r="J4707" s="87">
        <v>3.6067903715492902</v>
      </c>
      <c r="K4707" s="87">
        <v>6.4617557658718292</v>
      </c>
    </row>
    <row r="4708" spans="9:11" x14ac:dyDescent="0.25">
      <c r="I4708" s="86">
        <v>4707</v>
      </c>
      <c r="J4708" s="87">
        <v>1.4649760807299685</v>
      </c>
      <c r="K4708" s="87">
        <v>6.7968277780597948</v>
      </c>
    </row>
    <row r="4709" spans="9:11" x14ac:dyDescent="0.25">
      <c r="I4709" s="86">
        <v>4708</v>
      </c>
      <c r="J4709" s="87">
        <v>2.1772769798909373</v>
      </c>
      <c r="K4709" s="87">
        <v>7.5052767888422469</v>
      </c>
    </row>
    <row r="4710" spans="9:11" x14ac:dyDescent="0.25">
      <c r="I4710" s="86">
        <v>4709</v>
      </c>
      <c r="J4710" s="87">
        <v>2.6189469699786958</v>
      </c>
      <c r="K4710" s="87">
        <v>6.4507384414544449</v>
      </c>
    </row>
    <row r="4711" spans="9:11" x14ac:dyDescent="0.25">
      <c r="I4711" s="86">
        <v>4710</v>
      </c>
      <c r="J4711" s="87">
        <v>0.61411699671433961</v>
      </c>
      <c r="K4711" s="87">
        <v>5.8427927714732792</v>
      </c>
    </row>
    <row r="4712" spans="9:11" x14ac:dyDescent="0.25">
      <c r="I4712" s="86">
        <v>4711</v>
      </c>
      <c r="J4712" s="87">
        <v>1.8102582231228803</v>
      </c>
      <c r="K4712" s="87">
        <v>6.3371153506793236</v>
      </c>
    </row>
    <row r="4713" spans="9:11" x14ac:dyDescent="0.25">
      <c r="I4713" s="86">
        <v>4712</v>
      </c>
      <c r="J4713" s="87">
        <v>2.309039676949479</v>
      </c>
      <c r="K4713" s="87">
        <v>7.7288130125463148</v>
      </c>
    </row>
    <row r="4714" spans="9:11" x14ac:dyDescent="0.25">
      <c r="I4714" s="86">
        <v>4713</v>
      </c>
      <c r="J4714" s="87">
        <v>4.9780903645492263</v>
      </c>
      <c r="K4714" s="87">
        <v>7.9027255237417604</v>
      </c>
    </row>
    <row r="4715" spans="9:11" x14ac:dyDescent="0.25">
      <c r="I4715" s="86">
        <v>4714</v>
      </c>
      <c r="J4715" s="87">
        <v>2.1846579437104605</v>
      </c>
      <c r="K4715" s="87">
        <v>9.1575598927985009</v>
      </c>
    </row>
    <row r="4716" spans="9:11" x14ac:dyDescent="0.25">
      <c r="I4716" s="86">
        <v>4715</v>
      </c>
      <c r="J4716" s="87">
        <v>0.15824663170931519</v>
      </c>
      <c r="K4716" s="87">
        <v>5.0247542105501264</v>
      </c>
    </row>
    <row r="4717" spans="9:11" x14ac:dyDescent="0.25">
      <c r="I4717" s="86">
        <v>4716</v>
      </c>
      <c r="J4717" s="87">
        <v>2.9516758155063041</v>
      </c>
      <c r="K4717" s="87">
        <v>9.6849518059976685</v>
      </c>
    </row>
    <row r="4718" spans="9:11" x14ac:dyDescent="0.25">
      <c r="I4718" s="86">
        <v>4717</v>
      </c>
      <c r="J4718" s="87">
        <v>2.4285498005922541</v>
      </c>
      <c r="K4718" s="87">
        <v>6.7496272629747329</v>
      </c>
    </row>
    <row r="4719" spans="9:11" x14ac:dyDescent="0.25">
      <c r="I4719" s="86">
        <v>4718</v>
      </c>
      <c r="J4719" s="87">
        <v>1.7968101416431841</v>
      </c>
      <c r="K4719" s="87">
        <v>8.1613053675473921</v>
      </c>
    </row>
    <row r="4720" spans="9:11" x14ac:dyDescent="0.25">
      <c r="I4720" s="86">
        <v>4719</v>
      </c>
      <c r="J4720" s="87">
        <v>-2.0365719486685991</v>
      </c>
      <c r="K4720" s="87">
        <v>4.7423752277090738</v>
      </c>
    </row>
    <row r="4721" spans="9:11" x14ac:dyDescent="0.25">
      <c r="I4721" s="86">
        <v>4720</v>
      </c>
      <c r="J4721" s="87">
        <v>3.1914578633577104</v>
      </c>
      <c r="K4721" s="87">
        <v>10.479904992023634</v>
      </c>
    </row>
    <row r="4722" spans="9:11" x14ac:dyDescent="0.25">
      <c r="I4722" s="86">
        <v>4721</v>
      </c>
      <c r="J4722" s="87">
        <v>1.0746378196688169</v>
      </c>
      <c r="K4722" s="87">
        <v>6.1219583903547967</v>
      </c>
    </row>
    <row r="4723" spans="9:11" x14ac:dyDescent="0.25">
      <c r="I4723" s="86">
        <v>4722</v>
      </c>
      <c r="J4723" s="87">
        <v>1.8643064067053787</v>
      </c>
      <c r="K4723" s="87">
        <v>7.0920925939849209</v>
      </c>
    </row>
    <row r="4724" spans="9:11" x14ac:dyDescent="0.25">
      <c r="I4724" s="86">
        <v>4723</v>
      </c>
      <c r="J4724" s="87">
        <v>0.45400780081745395</v>
      </c>
      <c r="K4724" s="87">
        <v>6.1268487510862117</v>
      </c>
    </row>
    <row r="4725" spans="9:11" x14ac:dyDescent="0.25">
      <c r="I4725" s="86">
        <v>4724</v>
      </c>
      <c r="J4725" s="87">
        <v>1.7716837394164431</v>
      </c>
      <c r="K4725" s="87">
        <v>8.6511887827440699</v>
      </c>
    </row>
    <row r="4726" spans="9:11" x14ac:dyDescent="0.25">
      <c r="I4726" s="86">
        <v>4725</v>
      </c>
      <c r="J4726" s="87">
        <v>3.7817684191149015</v>
      </c>
      <c r="K4726" s="87">
        <v>5.4778274342548512</v>
      </c>
    </row>
    <row r="4727" spans="9:11" x14ac:dyDescent="0.25">
      <c r="I4727" s="86">
        <v>4726</v>
      </c>
      <c r="J4727" s="87">
        <v>1.3322205537948655</v>
      </c>
      <c r="K4727" s="87">
        <v>5.7552164025405839</v>
      </c>
    </row>
    <row r="4728" spans="9:11" x14ac:dyDescent="0.25">
      <c r="I4728" s="86">
        <v>4727</v>
      </c>
      <c r="J4728" s="87">
        <v>0.1174913868833638</v>
      </c>
      <c r="K4728" s="87">
        <v>5.1858331276185066</v>
      </c>
    </row>
    <row r="4729" spans="9:11" x14ac:dyDescent="0.25">
      <c r="I4729" s="86">
        <v>4728</v>
      </c>
      <c r="J4729" s="87">
        <v>3.071001378957618</v>
      </c>
      <c r="K4729" s="87">
        <v>6.9541631707556189</v>
      </c>
    </row>
    <row r="4730" spans="9:11" x14ac:dyDescent="0.25">
      <c r="I4730" s="86">
        <v>4729</v>
      </c>
      <c r="J4730" s="87">
        <v>1.6285681707472808</v>
      </c>
      <c r="K4730" s="87">
        <v>9.2102785916022736</v>
      </c>
    </row>
    <row r="4731" spans="9:11" x14ac:dyDescent="0.25">
      <c r="I4731" s="86">
        <v>4730</v>
      </c>
      <c r="J4731" s="87">
        <v>1.9024780993197883</v>
      </c>
      <c r="K4731" s="87">
        <v>6.3151744811988815</v>
      </c>
    </row>
    <row r="4732" spans="9:11" x14ac:dyDescent="0.25">
      <c r="I4732" s="86">
        <v>4731</v>
      </c>
      <c r="J4732" s="87">
        <v>0.74571731140157471</v>
      </c>
      <c r="K4732" s="87">
        <v>5.6121964421337509</v>
      </c>
    </row>
    <row r="4733" spans="9:11" x14ac:dyDescent="0.25">
      <c r="I4733" s="86">
        <v>4732</v>
      </c>
      <c r="J4733" s="87">
        <v>1.6943661955664533</v>
      </c>
      <c r="K4733" s="87">
        <v>5.3449526421681144</v>
      </c>
    </row>
    <row r="4734" spans="9:11" x14ac:dyDescent="0.25">
      <c r="I4734" s="86">
        <v>4733</v>
      </c>
      <c r="J4734" s="87">
        <v>0.90443335418181992</v>
      </c>
      <c r="K4734" s="87">
        <v>6.6790224154851972</v>
      </c>
    </row>
    <row r="4735" spans="9:11" x14ac:dyDescent="0.25">
      <c r="I4735" s="86">
        <v>4734</v>
      </c>
      <c r="J4735" s="87">
        <v>2.7153187738765219</v>
      </c>
      <c r="K4735" s="87">
        <v>9.7719573993372748</v>
      </c>
    </row>
    <row r="4736" spans="9:11" x14ac:dyDescent="0.25">
      <c r="I4736" s="86">
        <v>4735</v>
      </c>
      <c r="J4736" s="87">
        <v>-0.38993333422241383</v>
      </c>
      <c r="K4736" s="87">
        <v>4.7625353172206513</v>
      </c>
    </row>
    <row r="4737" spans="9:11" x14ac:dyDescent="0.25">
      <c r="I4737" s="86">
        <v>4736</v>
      </c>
      <c r="J4737" s="87">
        <v>3.5856327346915871</v>
      </c>
      <c r="K4737" s="87">
        <v>8.072716331615247</v>
      </c>
    </row>
    <row r="4738" spans="9:11" x14ac:dyDescent="0.25">
      <c r="I4738" s="86">
        <v>4737</v>
      </c>
      <c r="J4738" s="87">
        <v>-0.98297522810032856</v>
      </c>
      <c r="K4738" s="87">
        <v>4.2980717946426701</v>
      </c>
    </row>
    <row r="4739" spans="9:11" x14ac:dyDescent="0.25">
      <c r="I4739" s="86">
        <v>4738</v>
      </c>
      <c r="J4739" s="87">
        <v>2.149580043496778</v>
      </c>
      <c r="K4739" s="87">
        <v>8.0281657378083207</v>
      </c>
    </row>
    <row r="4740" spans="9:11" x14ac:dyDescent="0.25">
      <c r="I4740" s="86">
        <v>4739</v>
      </c>
      <c r="J4740" s="87">
        <v>4.930284270123936</v>
      </c>
      <c r="K4740" s="87">
        <v>10.711204267483431</v>
      </c>
    </row>
    <row r="4741" spans="9:11" x14ac:dyDescent="0.25">
      <c r="I4741" s="86">
        <v>4740</v>
      </c>
      <c r="J4741" s="87">
        <v>0.42828469761666899</v>
      </c>
      <c r="K4741" s="87">
        <v>5.9369401473273697</v>
      </c>
    </row>
    <row r="4742" spans="9:11" x14ac:dyDescent="0.25">
      <c r="I4742" s="86">
        <v>4741</v>
      </c>
      <c r="J4742" s="87">
        <v>5.4374974795348585E-2</v>
      </c>
      <c r="K4742" s="87">
        <v>8.5176643433704591</v>
      </c>
    </row>
    <row r="4743" spans="9:11" x14ac:dyDescent="0.25">
      <c r="I4743" s="86">
        <v>4742</v>
      </c>
      <c r="J4743" s="87">
        <v>1.3785230653647802</v>
      </c>
      <c r="K4743" s="87">
        <v>6.1071405142686199</v>
      </c>
    </row>
    <row r="4744" spans="9:11" x14ac:dyDescent="0.25">
      <c r="I4744" s="86">
        <v>4743</v>
      </c>
      <c r="J4744" s="87">
        <v>2.123342807282337</v>
      </c>
      <c r="K4744" s="87">
        <v>5.4459742849344659</v>
      </c>
    </row>
    <row r="4745" spans="9:11" x14ac:dyDescent="0.25">
      <c r="I4745" s="86">
        <v>4744</v>
      </c>
      <c r="J4745" s="87">
        <v>-0.93483211945280109</v>
      </c>
      <c r="K4745" s="87">
        <v>4.7700670041553881</v>
      </c>
    </row>
    <row r="4746" spans="9:11" x14ac:dyDescent="0.25">
      <c r="I4746" s="86">
        <v>4745</v>
      </c>
      <c r="J4746" s="87">
        <v>3.3355290013273544</v>
      </c>
      <c r="K4746" s="87">
        <v>7.3403908074631259</v>
      </c>
    </row>
    <row r="4747" spans="9:11" x14ac:dyDescent="0.25">
      <c r="I4747" s="86">
        <v>4746</v>
      </c>
      <c r="J4747" s="87">
        <v>-0.11389524246601113</v>
      </c>
      <c r="K4747" s="87">
        <v>6.5064352893925985</v>
      </c>
    </row>
    <row r="4748" spans="9:11" x14ac:dyDescent="0.25">
      <c r="I4748" s="86">
        <v>4747</v>
      </c>
      <c r="J4748" s="87">
        <v>5.8718547064485618</v>
      </c>
      <c r="K4748" s="87">
        <v>8.0081739139431374</v>
      </c>
    </row>
    <row r="4749" spans="9:11" x14ac:dyDescent="0.25">
      <c r="I4749" s="86">
        <v>4748</v>
      </c>
      <c r="J4749" s="87">
        <v>2.1130418458232718</v>
      </c>
      <c r="K4749" s="87">
        <v>6.4099110263556902</v>
      </c>
    </row>
    <row r="4750" spans="9:11" x14ac:dyDescent="0.25">
      <c r="I4750" s="86">
        <v>4749</v>
      </c>
      <c r="J4750" s="87">
        <v>1.2893656082648919</v>
      </c>
      <c r="K4750" s="87">
        <v>6.8000822986356795</v>
      </c>
    </row>
    <row r="4751" spans="9:11" x14ac:dyDescent="0.25">
      <c r="I4751" s="86">
        <v>4750</v>
      </c>
      <c r="J4751" s="87">
        <v>3.2404496937467488</v>
      </c>
      <c r="K4751" s="87">
        <v>7.4353889969282818</v>
      </c>
    </row>
    <row r="4752" spans="9:11" x14ac:dyDescent="0.25">
      <c r="I4752" s="86">
        <v>4751</v>
      </c>
      <c r="J4752" s="87">
        <v>0.35754144255353459</v>
      </c>
      <c r="K4752" s="87">
        <v>7.1042385241805963</v>
      </c>
    </row>
    <row r="4753" spans="9:11" x14ac:dyDescent="0.25">
      <c r="I4753" s="86">
        <v>4752</v>
      </c>
      <c r="J4753" s="87">
        <v>4.1962421194157002</v>
      </c>
      <c r="K4753" s="87">
        <v>11.980388570249607</v>
      </c>
    </row>
    <row r="4754" spans="9:11" x14ac:dyDescent="0.25">
      <c r="I4754" s="86">
        <v>4753</v>
      </c>
      <c r="J4754" s="87">
        <v>1.729462472957656</v>
      </c>
      <c r="K4754" s="87">
        <v>8.6684913757626418</v>
      </c>
    </row>
    <row r="4755" spans="9:11" x14ac:dyDescent="0.25">
      <c r="I4755" s="86">
        <v>4754</v>
      </c>
      <c r="J4755" s="87">
        <v>-0.15372781820736936</v>
      </c>
      <c r="K4755" s="87">
        <v>5.5145358383680634</v>
      </c>
    </row>
    <row r="4756" spans="9:11" x14ac:dyDescent="0.25">
      <c r="I4756" s="86">
        <v>4755</v>
      </c>
      <c r="J4756" s="87">
        <v>9.0892388224973342</v>
      </c>
      <c r="K4756" s="87">
        <v>12.461256845000541</v>
      </c>
    </row>
    <row r="4757" spans="9:11" x14ac:dyDescent="0.25">
      <c r="I4757" s="86">
        <v>4756</v>
      </c>
      <c r="J4757" s="87">
        <v>3.0023604387408209</v>
      </c>
      <c r="K4757" s="87">
        <v>9.004005955365125</v>
      </c>
    </row>
    <row r="4758" spans="9:11" x14ac:dyDescent="0.25">
      <c r="I4758" s="86">
        <v>4757</v>
      </c>
      <c r="J4758" s="87">
        <v>2.8373830634519228</v>
      </c>
      <c r="K4758" s="87">
        <v>9.9007389949014559</v>
      </c>
    </row>
    <row r="4759" spans="9:11" x14ac:dyDescent="0.25">
      <c r="I4759" s="86">
        <v>4758</v>
      </c>
      <c r="J4759" s="87">
        <v>2.5166519076333902</v>
      </c>
      <c r="K4759" s="87">
        <v>9.1026070846955065</v>
      </c>
    </row>
    <row r="4760" spans="9:11" x14ac:dyDescent="0.25">
      <c r="I4760" s="86">
        <v>4759</v>
      </c>
      <c r="J4760" s="87">
        <v>0.89604533752712845</v>
      </c>
      <c r="K4760" s="87">
        <v>5.3207071240378481</v>
      </c>
    </row>
    <row r="4761" spans="9:11" x14ac:dyDescent="0.25">
      <c r="I4761" s="86">
        <v>4760</v>
      </c>
      <c r="J4761" s="87">
        <v>2.2293752162395117</v>
      </c>
      <c r="K4761" s="87">
        <v>9.0316942712720891</v>
      </c>
    </row>
    <row r="4762" spans="9:11" x14ac:dyDescent="0.25">
      <c r="I4762" s="86">
        <v>4761</v>
      </c>
      <c r="J4762" s="87">
        <v>-0.28824065501601925</v>
      </c>
      <c r="K4762" s="87">
        <v>5.7667046621444502</v>
      </c>
    </row>
    <row r="4763" spans="9:11" x14ac:dyDescent="0.25">
      <c r="I4763" s="86">
        <v>4762</v>
      </c>
      <c r="J4763" s="87">
        <v>4.2639970341495737</v>
      </c>
      <c r="K4763" s="87">
        <v>6.4657701939724452</v>
      </c>
    </row>
    <row r="4764" spans="9:11" x14ac:dyDescent="0.25">
      <c r="I4764" s="86">
        <v>4763</v>
      </c>
      <c r="J4764" s="87">
        <v>2.4925891705144938</v>
      </c>
      <c r="K4764" s="87">
        <v>8.5420381845233209</v>
      </c>
    </row>
    <row r="4765" spans="9:11" x14ac:dyDescent="0.25">
      <c r="I4765" s="86">
        <v>4764</v>
      </c>
      <c r="J4765" s="87">
        <v>1.9167797461119851</v>
      </c>
      <c r="K4765" s="87">
        <v>5.3989321292049519</v>
      </c>
    </row>
    <row r="4766" spans="9:11" x14ac:dyDescent="0.25">
      <c r="I4766" s="86">
        <v>4765</v>
      </c>
      <c r="J4766" s="87">
        <v>1.5878258902576654</v>
      </c>
      <c r="K4766" s="87">
        <v>6.3655407025711721</v>
      </c>
    </row>
    <row r="4767" spans="9:11" x14ac:dyDescent="0.25">
      <c r="I4767" s="86">
        <v>4766</v>
      </c>
      <c r="J4767" s="87">
        <v>0.46039661669476395</v>
      </c>
      <c r="K4767" s="87">
        <v>5.4685092309633632</v>
      </c>
    </row>
    <row r="4768" spans="9:11" x14ac:dyDescent="0.25">
      <c r="I4768" s="86">
        <v>4767</v>
      </c>
      <c r="J4768" s="87">
        <v>1.9081468781151472</v>
      </c>
      <c r="K4768" s="87">
        <v>7.6241872283493723</v>
      </c>
    </row>
    <row r="4769" spans="9:11" x14ac:dyDescent="0.25">
      <c r="I4769" s="86">
        <v>4768</v>
      </c>
      <c r="J4769" s="87">
        <v>4.0188054281156251</v>
      </c>
      <c r="K4769" s="87">
        <v>7.4065482570861949</v>
      </c>
    </row>
    <row r="4770" spans="9:11" x14ac:dyDescent="0.25">
      <c r="I4770" s="86">
        <v>4769</v>
      </c>
      <c r="J4770" s="87">
        <v>1.7961896838102849</v>
      </c>
      <c r="K4770" s="87">
        <v>7.5271390090920969</v>
      </c>
    </row>
    <row r="4771" spans="9:11" x14ac:dyDescent="0.25">
      <c r="I4771" s="86">
        <v>4770</v>
      </c>
      <c r="J4771" s="87">
        <v>1.7310996365878415</v>
      </c>
      <c r="K4771" s="87">
        <v>7.4095704838363812</v>
      </c>
    </row>
    <row r="4772" spans="9:11" x14ac:dyDescent="0.25">
      <c r="I4772" s="86">
        <v>4771</v>
      </c>
      <c r="J4772" s="87">
        <v>2.0183901867298149</v>
      </c>
      <c r="K4772" s="87">
        <v>5.7352185680859193</v>
      </c>
    </row>
    <row r="4773" spans="9:11" x14ac:dyDescent="0.25">
      <c r="I4773" s="86">
        <v>4772</v>
      </c>
      <c r="J4773" s="87">
        <v>4.0962296591682463</v>
      </c>
      <c r="K4773" s="87">
        <v>6.4324102733540123</v>
      </c>
    </row>
    <row r="4774" spans="9:11" x14ac:dyDescent="0.25">
      <c r="I4774" s="86">
        <v>4773</v>
      </c>
      <c r="J4774" s="87">
        <v>0.98655445909360928</v>
      </c>
      <c r="K4774" s="87">
        <v>6.9275369479996627</v>
      </c>
    </row>
    <row r="4775" spans="9:11" x14ac:dyDescent="0.25">
      <c r="I4775" s="86">
        <v>4774</v>
      </c>
      <c r="J4775" s="87">
        <v>-8.7719822229468392E-3</v>
      </c>
      <c r="K4775" s="87">
        <v>4.9695234683465559</v>
      </c>
    </row>
    <row r="4776" spans="9:11" x14ac:dyDescent="0.25">
      <c r="I4776" s="86">
        <v>4775</v>
      </c>
      <c r="J4776" s="87">
        <v>0.25639956212211601</v>
      </c>
      <c r="K4776" s="87">
        <v>6.8023915918986875</v>
      </c>
    </row>
    <row r="4777" spans="9:11" x14ac:dyDescent="0.25">
      <c r="I4777" s="86">
        <v>4776</v>
      </c>
      <c r="J4777" s="87">
        <v>6.2035412583781291</v>
      </c>
      <c r="K4777" s="87">
        <v>10.184596461962284</v>
      </c>
    </row>
    <row r="4778" spans="9:11" x14ac:dyDescent="0.25">
      <c r="I4778" s="86">
        <v>4777</v>
      </c>
      <c r="J4778" s="87">
        <v>-0.11854218982159281</v>
      </c>
      <c r="K4778" s="87">
        <v>5.0671193474911078</v>
      </c>
    </row>
    <row r="4779" spans="9:11" x14ac:dyDescent="0.25">
      <c r="I4779" s="86">
        <v>4778</v>
      </c>
      <c r="J4779" s="87">
        <v>3.2989511752272991</v>
      </c>
      <c r="K4779" s="87">
        <v>6.122607749377182</v>
      </c>
    </row>
    <row r="4780" spans="9:11" x14ac:dyDescent="0.25">
      <c r="I4780" s="86">
        <v>4779</v>
      </c>
      <c r="J4780" s="87">
        <v>1.3927292152964856</v>
      </c>
      <c r="K4780" s="87">
        <v>6.2270989831425281</v>
      </c>
    </row>
    <row r="4781" spans="9:11" x14ac:dyDescent="0.25">
      <c r="I4781" s="86">
        <v>4780</v>
      </c>
      <c r="J4781" s="87">
        <v>1.8345200118357976</v>
      </c>
      <c r="K4781" s="87">
        <v>6.7064628412965188</v>
      </c>
    </row>
    <row r="4782" spans="9:11" x14ac:dyDescent="0.25">
      <c r="I4782" s="86">
        <v>4781</v>
      </c>
      <c r="J4782" s="87">
        <v>2.6627928309438431</v>
      </c>
      <c r="K4782" s="87">
        <v>7.6843293065861218</v>
      </c>
    </row>
    <row r="4783" spans="9:11" x14ac:dyDescent="0.25">
      <c r="I4783" s="86">
        <v>4782</v>
      </c>
      <c r="J4783" s="87">
        <v>3.5192630905521947</v>
      </c>
      <c r="K4783" s="87">
        <v>8.5121651292233995</v>
      </c>
    </row>
    <row r="4784" spans="9:11" x14ac:dyDescent="0.25">
      <c r="I4784" s="86">
        <v>4783</v>
      </c>
      <c r="J4784" s="87">
        <v>-0.10255760425478488</v>
      </c>
      <c r="K4784" s="87">
        <v>6.2036724604792584</v>
      </c>
    </row>
    <row r="4785" spans="9:11" x14ac:dyDescent="0.25">
      <c r="I4785" s="86">
        <v>4784</v>
      </c>
      <c r="J4785" s="87">
        <v>1.6099696616658168</v>
      </c>
      <c r="K4785" s="87">
        <v>6.8191500788611297</v>
      </c>
    </row>
    <row r="4786" spans="9:11" x14ac:dyDescent="0.25">
      <c r="I4786" s="86">
        <v>4785</v>
      </c>
      <c r="J4786" s="87">
        <v>1.4972316025445824</v>
      </c>
      <c r="K4786" s="87">
        <v>5.8269599613137304</v>
      </c>
    </row>
    <row r="4787" spans="9:11" x14ac:dyDescent="0.25">
      <c r="I4787" s="86">
        <v>4786</v>
      </c>
      <c r="J4787" s="87">
        <v>1.0052713276324563</v>
      </c>
      <c r="K4787" s="87">
        <v>4.8041900710168211</v>
      </c>
    </row>
    <row r="4788" spans="9:11" x14ac:dyDescent="0.25">
      <c r="I4788" s="86">
        <v>4787</v>
      </c>
      <c r="J4788" s="87">
        <v>1.4684432052428611</v>
      </c>
      <c r="K4788" s="87">
        <v>5.986890408675718</v>
      </c>
    </row>
    <row r="4789" spans="9:11" x14ac:dyDescent="0.25">
      <c r="I4789" s="86">
        <v>4788</v>
      </c>
      <c r="J4789" s="87">
        <v>4.5632400417338905</v>
      </c>
      <c r="K4789" s="87">
        <v>8.1530439892417075</v>
      </c>
    </row>
    <row r="4790" spans="9:11" x14ac:dyDescent="0.25">
      <c r="I4790" s="86">
        <v>4789</v>
      </c>
      <c r="J4790" s="87">
        <v>2.1628124399356201</v>
      </c>
      <c r="K4790" s="87">
        <v>6.7008941613195443</v>
      </c>
    </row>
    <row r="4791" spans="9:11" x14ac:dyDescent="0.25">
      <c r="I4791" s="86">
        <v>4790</v>
      </c>
      <c r="J4791" s="87">
        <v>4.7301394609857113</v>
      </c>
      <c r="K4791" s="87">
        <v>9.9277720495292279</v>
      </c>
    </row>
    <row r="4792" spans="9:11" x14ac:dyDescent="0.25">
      <c r="I4792" s="86">
        <v>4791</v>
      </c>
      <c r="J4792" s="87">
        <v>-1.3266885793842329</v>
      </c>
      <c r="K4792" s="87">
        <v>5.8368896242021542</v>
      </c>
    </row>
    <row r="4793" spans="9:11" x14ac:dyDescent="0.25">
      <c r="I4793" s="86">
        <v>4792</v>
      </c>
      <c r="J4793" s="87">
        <v>0.78333217844387004</v>
      </c>
      <c r="K4793" s="87">
        <v>6.031155081394588</v>
      </c>
    </row>
    <row r="4794" spans="9:11" x14ac:dyDescent="0.25">
      <c r="I4794" s="86">
        <v>4793</v>
      </c>
      <c r="J4794" s="87">
        <v>0.30644678275146742</v>
      </c>
      <c r="K4794" s="87">
        <v>5.3665793606438577</v>
      </c>
    </row>
    <row r="4795" spans="9:11" x14ac:dyDescent="0.25">
      <c r="I4795" s="86">
        <v>4794</v>
      </c>
      <c r="J4795" s="87">
        <v>0.56383599490180636</v>
      </c>
      <c r="K4795" s="87">
        <v>6.2232583352029192</v>
      </c>
    </row>
    <row r="4796" spans="9:11" x14ac:dyDescent="0.25">
      <c r="I4796" s="86">
        <v>4795</v>
      </c>
      <c r="J4796" s="87">
        <v>2.932942622568671</v>
      </c>
      <c r="K4796" s="87">
        <v>8.9144958160255339</v>
      </c>
    </row>
    <row r="4797" spans="9:11" x14ac:dyDescent="0.25">
      <c r="I4797" s="86">
        <v>4796</v>
      </c>
      <c r="J4797" s="87">
        <v>2.393808128111897</v>
      </c>
      <c r="K4797" s="87">
        <v>5.8680754054620188</v>
      </c>
    </row>
    <row r="4798" spans="9:11" x14ac:dyDescent="0.25">
      <c r="I4798" s="86">
        <v>4797</v>
      </c>
      <c r="J4798" s="87">
        <v>2.2969265444765083</v>
      </c>
      <c r="K4798" s="87">
        <v>6.7877044784271412</v>
      </c>
    </row>
    <row r="4799" spans="9:11" x14ac:dyDescent="0.25">
      <c r="I4799" s="86">
        <v>4798</v>
      </c>
      <c r="J4799" s="87">
        <v>4.0684066339278875</v>
      </c>
      <c r="K4799" s="87">
        <v>9.6149575351815777</v>
      </c>
    </row>
    <row r="4800" spans="9:11" x14ac:dyDescent="0.25">
      <c r="I4800" s="86">
        <v>4799</v>
      </c>
      <c r="J4800" s="87">
        <v>1.7689147270202064</v>
      </c>
      <c r="K4800" s="87">
        <v>5.490476985566338</v>
      </c>
    </row>
    <row r="4801" spans="9:11" x14ac:dyDescent="0.25">
      <c r="I4801" s="86">
        <v>4800</v>
      </c>
      <c r="J4801" s="87">
        <v>0.64541205592676487</v>
      </c>
      <c r="K4801" s="87">
        <v>5.6607243416010231</v>
      </c>
    </row>
    <row r="4802" spans="9:11" x14ac:dyDescent="0.25">
      <c r="I4802" s="86">
        <v>4801</v>
      </c>
      <c r="J4802" s="87">
        <v>1.4558075058414923</v>
      </c>
      <c r="K4802" s="87">
        <v>7.3387933830051999</v>
      </c>
    </row>
    <row r="4803" spans="9:11" x14ac:dyDescent="0.25">
      <c r="I4803" s="86">
        <v>4802</v>
      </c>
      <c r="J4803" s="87">
        <v>1.1091623424338026</v>
      </c>
      <c r="K4803" s="87">
        <v>5.0299124117732186</v>
      </c>
    </row>
    <row r="4804" spans="9:11" x14ac:dyDescent="0.25">
      <c r="I4804" s="86">
        <v>4803</v>
      </c>
      <c r="J4804" s="87">
        <v>0.58247881204805818</v>
      </c>
      <c r="K4804" s="87">
        <v>5.853558571606623</v>
      </c>
    </row>
    <row r="4805" spans="9:11" x14ac:dyDescent="0.25">
      <c r="I4805" s="86">
        <v>4804</v>
      </c>
      <c r="J4805" s="87">
        <v>0.39597927440631242</v>
      </c>
      <c r="K4805" s="87">
        <v>6.8506647030722689</v>
      </c>
    </row>
    <row r="4806" spans="9:11" x14ac:dyDescent="0.25">
      <c r="I4806" s="86">
        <v>4805</v>
      </c>
      <c r="J4806" s="87">
        <v>1.6541728518208103</v>
      </c>
      <c r="K4806" s="87">
        <v>7.9487114177602098</v>
      </c>
    </row>
    <row r="4807" spans="9:11" x14ac:dyDescent="0.25">
      <c r="I4807" s="86">
        <v>4806</v>
      </c>
      <c r="J4807" s="87">
        <v>0.76054169009111572</v>
      </c>
      <c r="K4807" s="87">
        <v>6.4108890414731645</v>
      </c>
    </row>
    <row r="4808" spans="9:11" x14ac:dyDescent="0.25">
      <c r="I4808" s="86">
        <v>4807</v>
      </c>
      <c r="J4808" s="87">
        <v>1.4457363814517938</v>
      </c>
      <c r="K4808" s="87">
        <v>6.6226930522545411</v>
      </c>
    </row>
    <row r="4809" spans="9:11" x14ac:dyDescent="0.25">
      <c r="I4809" s="86">
        <v>4808</v>
      </c>
      <c r="J4809" s="87">
        <v>5.5208538882138178</v>
      </c>
      <c r="K4809" s="87">
        <v>9.1138916685380806</v>
      </c>
    </row>
    <row r="4810" spans="9:11" x14ac:dyDescent="0.25">
      <c r="I4810" s="86">
        <v>4809</v>
      </c>
      <c r="J4810" s="87">
        <v>0.10866598936195526</v>
      </c>
      <c r="K4810" s="87">
        <v>6.1396514761312746</v>
      </c>
    </row>
    <row r="4811" spans="9:11" x14ac:dyDescent="0.25">
      <c r="I4811" s="86">
        <v>4810</v>
      </c>
      <c r="J4811" s="87">
        <v>2.7604402642430292</v>
      </c>
      <c r="K4811" s="87">
        <v>6.4216918703422223</v>
      </c>
    </row>
    <row r="4812" spans="9:11" x14ac:dyDescent="0.25">
      <c r="I4812" s="86">
        <v>4811</v>
      </c>
      <c r="J4812" s="87">
        <v>3.2485555096399228</v>
      </c>
      <c r="K4812" s="87">
        <v>9.4259128482990899</v>
      </c>
    </row>
    <row r="4813" spans="9:11" x14ac:dyDescent="0.25">
      <c r="I4813" s="86">
        <v>4812</v>
      </c>
      <c r="J4813" s="87">
        <v>1.5190004607784413</v>
      </c>
      <c r="K4813" s="87">
        <v>8.1515035406445353</v>
      </c>
    </row>
    <row r="4814" spans="9:11" x14ac:dyDescent="0.25">
      <c r="I4814" s="86">
        <v>4813</v>
      </c>
      <c r="J4814" s="87">
        <v>0.57272930385301279</v>
      </c>
      <c r="K4814" s="87">
        <v>7.2073399364255701</v>
      </c>
    </row>
    <row r="4815" spans="9:11" x14ac:dyDescent="0.25">
      <c r="I4815" s="86">
        <v>4814</v>
      </c>
      <c r="J4815" s="87">
        <v>2.1834521919374108</v>
      </c>
      <c r="K4815" s="87">
        <v>8.3068366754438223</v>
      </c>
    </row>
    <row r="4816" spans="9:11" x14ac:dyDescent="0.25">
      <c r="I4816" s="86">
        <v>4815</v>
      </c>
      <c r="J4816" s="87">
        <v>1.9949947428436854</v>
      </c>
      <c r="K4816" s="87">
        <v>6.6985425661714331</v>
      </c>
    </row>
    <row r="4817" spans="9:11" x14ac:dyDescent="0.25">
      <c r="I4817" s="86">
        <v>4816</v>
      </c>
      <c r="J4817" s="87">
        <v>3.1379237891726248</v>
      </c>
      <c r="K4817" s="87">
        <v>8.0441520413163392</v>
      </c>
    </row>
    <row r="4818" spans="9:11" x14ac:dyDescent="0.25">
      <c r="I4818" s="86">
        <v>4817</v>
      </c>
      <c r="J4818" s="87">
        <v>-0.67555040850748505</v>
      </c>
      <c r="K4818" s="87">
        <v>5.1269445804653557</v>
      </c>
    </row>
    <row r="4819" spans="9:11" x14ac:dyDescent="0.25">
      <c r="I4819" s="86">
        <v>4818</v>
      </c>
      <c r="J4819" s="87">
        <v>1.4615974928081084</v>
      </c>
      <c r="K4819" s="87">
        <v>6.9294146873954583</v>
      </c>
    </row>
    <row r="4820" spans="9:11" x14ac:dyDescent="0.25">
      <c r="I4820" s="86">
        <v>4819</v>
      </c>
      <c r="J4820" s="87">
        <v>2.6784443799168764</v>
      </c>
      <c r="K4820" s="87">
        <v>8.8664133278379218</v>
      </c>
    </row>
    <row r="4821" spans="9:11" x14ac:dyDescent="0.25">
      <c r="I4821" s="86">
        <v>4820</v>
      </c>
      <c r="J4821" s="87">
        <v>4.1481861914155918</v>
      </c>
      <c r="K4821" s="87">
        <v>6.5695071628614459</v>
      </c>
    </row>
    <row r="4822" spans="9:11" x14ac:dyDescent="0.25">
      <c r="I4822" s="86">
        <v>4821</v>
      </c>
      <c r="J4822" s="87">
        <v>1.5096677983584801</v>
      </c>
      <c r="K4822" s="87">
        <v>7.4005567904748126</v>
      </c>
    </row>
    <row r="4823" spans="9:11" x14ac:dyDescent="0.25">
      <c r="I4823" s="86">
        <v>4822</v>
      </c>
      <c r="J4823" s="87">
        <v>7.7873086647468437</v>
      </c>
      <c r="K4823" s="87">
        <v>8.5988221320753855</v>
      </c>
    </row>
    <row r="4824" spans="9:11" x14ac:dyDescent="0.25">
      <c r="I4824" s="86">
        <v>4823</v>
      </c>
      <c r="J4824" s="87">
        <v>0.42678993653354258</v>
      </c>
      <c r="K4824" s="87">
        <v>5.6295303447160148</v>
      </c>
    </row>
    <row r="4825" spans="9:11" x14ac:dyDescent="0.25">
      <c r="I4825" s="86">
        <v>4824</v>
      </c>
      <c r="J4825" s="87">
        <v>1.3200033958592829</v>
      </c>
      <c r="K4825" s="87">
        <v>7.4696650126018254</v>
      </c>
    </row>
    <row r="4826" spans="9:11" x14ac:dyDescent="0.25">
      <c r="I4826" s="86">
        <v>4825</v>
      </c>
      <c r="J4826" s="87">
        <v>2.0077421454363975E-2</v>
      </c>
      <c r="K4826" s="87">
        <v>4.770845161277804</v>
      </c>
    </row>
    <row r="4827" spans="9:11" x14ac:dyDescent="0.25">
      <c r="I4827" s="86">
        <v>4826</v>
      </c>
      <c r="J4827" s="87">
        <v>-0.81426958602510435</v>
      </c>
      <c r="K4827" s="87">
        <v>5.4332052977923286</v>
      </c>
    </row>
    <row r="4828" spans="9:11" x14ac:dyDescent="0.25">
      <c r="I4828" s="86">
        <v>4827</v>
      </c>
      <c r="J4828" s="87">
        <v>1.3087676149265883</v>
      </c>
      <c r="K4828" s="87">
        <v>6.6045782715979406</v>
      </c>
    </row>
    <row r="4829" spans="9:11" x14ac:dyDescent="0.25">
      <c r="I4829" s="86">
        <v>4828</v>
      </c>
      <c r="J4829" s="87">
        <v>2.373430335643623</v>
      </c>
      <c r="K4829" s="87">
        <v>6.8849361149934811</v>
      </c>
    </row>
    <row r="4830" spans="9:11" x14ac:dyDescent="0.25">
      <c r="I4830" s="86">
        <v>4829</v>
      </c>
      <c r="J4830" s="87">
        <v>1.2714804788768568</v>
      </c>
      <c r="K4830" s="87">
        <v>7.1470007854473074</v>
      </c>
    </row>
    <row r="4831" spans="9:11" x14ac:dyDescent="0.25">
      <c r="I4831" s="86">
        <v>4830</v>
      </c>
      <c r="J4831" s="87">
        <v>2.3639664822169442</v>
      </c>
      <c r="K4831" s="87">
        <v>6.6469457907797924</v>
      </c>
    </row>
    <row r="4832" spans="9:11" x14ac:dyDescent="0.25">
      <c r="I4832" s="86">
        <v>4831</v>
      </c>
      <c r="J4832" s="87">
        <v>2.3391427052844511</v>
      </c>
      <c r="K4832" s="87">
        <v>6.7994397123933039</v>
      </c>
    </row>
    <row r="4833" spans="9:11" x14ac:dyDescent="0.25">
      <c r="I4833" s="86">
        <v>4832</v>
      </c>
      <c r="J4833" s="87">
        <v>-0.70133843151555819</v>
      </c>
      <c r="K4833" s="87">
        <v>5.5120072781969069</v>
      </c>
    </row>
    <row r="4834" spans="9:11" x14ac:dyDescent="0.25">
      <c r="I4834" s="86">
        <v>4833</v>
      </c>
      <c r="J4834" s="87">
        <v>1.4447980658286808</v>
      </c>
      <c r="K4834" s="87">
        <v>7.8943389473917502</v>
      </c>
    </row>
    <row r="4835" spans="9:11" x14ac:dyDescent="0.25">
      <c r="I4835" s="86">
        <v>4834</v>
      </c>
      <c r="J4835" s="87">
        <v>1.9050386626799547</v>
      </c>
      <c r="K4835" s="87">
        <v>9.4469685883510817</v>
      </c>
    </row>
    <row r="4836" spans="9:11" x14ac:dyDescent="0.25">
      <c r="I4836" s="86">
        <v>4835</v>
      </c>
      <c r="J4836" s="87">
        <v>2.7091429691393136</v>
      </c>
      <c r="K4836" s="87">
        <v>6.5126490726301478</v>
      </c>
    </row>
    <row r="4837" spans="9:11" x14ac:dyDescent="0.25">
      <c r="I4837" s="86">
        <v>4836</v>
      </c>
      <c r="J4837" s="87">
        <v>3.6587212451707671</v>
      </c>
      <c r="K4837" s="87">
        <v>9.1752948644981078</v>
      </c>
    </row>
    <row r="4838" spans="9:11" x14ac:dyDescent="0.25">
      <c r="I4838" s="86">
        <v>4837</v>
      </c>
      <c r="J4838" s="87">
        <v>1.482246141128984</v>
      </c>
      <c r="K4838" s="87">
        <v>7.8149844977732306</v>
      </c>
    </row>
    <row r="4839" spans="9:11" x14ac:dyDescent="0.25">
      <c r="I4839" s="86">
        <v>4838</v>
      </c>
      <c r="J4839" s="87">
        <v>2.5182612723417428</v>
      </c>
      <c r="K4839" s="87">
        <v>6.80789823806274</v>
      </c>
    </row>
    <row r="4840" spans="9:11" x14ac:dyDescent="0.25">
      <c r="I4840" s="86">
        <v>4839</v>
      </c>
      <c r="J4840" s="87">
        <v>0.28970807950204236</v>
      </c>
      <c r="K4840" s="87">
        <v>6.5838558767764557</v>
      </c>
    </row>
    <row r="4841" spans="9:11" x14ac:dyDescent="0.25">
      <c r="I4841" s="86">
        <v>4840</v>
      </c>
      <c r="J4841" s="87">
        <v>1.3932511382073249</v>
      </c>
      <c r="K4841" s="87">
        <v>5.9259266853995687</v>
      </c>
    </row>
    <row r="4842" spans="9:11" x14ac:dyDescent="0.25">
      <c r="I4842" s="86">
        <v>4841</v>
      </c>
      <c r="J4842" s="87">
        <v>1.3548998655776376</v>
      </c>
      <c r="K4842" s="87">
        <v>7.3960920429184656</v>
      </c>
    </row>
    <row r="4843" spans="9:11" x14ac:dyDescent="0.25">
      <c r="I4843" s="86">
        <v>4842</v>
      </c>
      <c r="J4843" s="87">
        <v>-0.96904455513519139</v>
      </c>
      <c r="K4843" s="87">
        <v>6.4069312556261879</v>
      </c>
    </row>
    <row r="4844" spans="9:11" x14ac:dyDescent="0.25">
      <c r="I4844" s="86">
        <v>4843</v>
      </c>
      <c r="J4844" s="87">
        <v>1.6833900144500706</v>
      </c>
      <c r="K4844" s="87">
        <v>7.9304357663918825</v>
      </c>
    </row>
    <row r="4845" spans="9:11" x14ac:dyDescent="0.25">
      <c r="I4845" s="86">
        <v>4844</v>
      </c>
      <c r="J4845" s="87">
        <v>2.3841126250541551</v>
      </c>
      <c r="K4845" s="87">
        <v>7.7285527463376731</v>
      </c>
    </row>
    <row r="4846" spans="9:11" x14ac:dyDescent="0.25">
      <c r="I4846" s="86">
        <v>4845</v>
      </c>
      <c r="J4846" s="87">
        <v>0.7929537199942791</v>
      </c>
      <c r="K4846" s="87">
        <v>5.5065477750593352</v>
      </c>
    </row>
    <row r="4847" spans="9:11" x14ac:dyDescent="0.25">
      <c r="I4847" s="86">
        <v>4846</v>
      </c>
      <c r="J4847" s="87">
        <v>-2.5640019885554084</v>
      </c>
      <c r="K4847" s="87">
        <v>4.437579667582904</v>
      </c>
    </row>
    <row r="4848" spans="9:11" x14ac:dyDescent="0.25">
      <c r="I4848" s="86">
        <v>4847</v>
      </c>
      <c r="J4848" s="87">
        <v>-0.85939046633669047</v>
      </c>
      <c r="K4848" s="87">
        <v>5.3382811345416892</v>
      </c>
    </row>
    <row r="4849" spans="9:11" x14ac:dyDescent="0.25">
      <c r="I4849" s="86">
        <v>4848</v>
      </c>
      <c r="J4849" s="87">
        <v>-0.96084352509170001</v>
      </c>
      <c r="K4849" s="87">
        <v>4.6979528312224357</v>
      </c>
    </row>
    <row r="4850" spans="9:11" x14ac:dyDescent="0.25">
      <c r="I4850" s="86">
        <v>4849</v>
      </c>
      <c r="J4850" s="87">
        <v>0.2854429872317521</v>
      </c>
      <c r="K4850" s="87">
        <v>4.7675666798548244</v>
      </c>
    </row>
    <row r="4851" spans="9:11" x14ac:dyDescent="0.25">
      <c r="I4851" s="86">
        <v>4850</v>
      </c>
      <c r="J4851" s="87">
        <v>2.4297222285718778</v>
      </c>
      <c r="K4851" s="87">
        <v>9.1241800646916289</v>
      </c>
    </row>
    <row r="4852" spans="9:11" x14ac:dyDescent="0.25">
      <c r="I4852" s="86">
        <v>4851</v>
      </c>
      <c r="J4852" s="87">
        <v>0.28885517879680389</v>
      </c>
      <c r="K4852" s="87">
        <v>7.8390603890687078</v>
      </c>
    </row>
    <row r="4853" spans="9:11" x14ac:dyDescent="0.25">
      <c r="I4853" s="86">
        <v>4852</v>
      </c>
      <c r="J4853" s="87">
        <v>1.2428274197334774</v>
      </c>
      <c r="K4853" s="87">
        <v>6.984434961119474</v>
      </c>
    </row>
    <row r="4854" spans="9:11" x14ac:dyDescent="0.25">
      <c r="I4854" s="86">
        <v>4853</v>
      </c>
      <c r="J4854" s="87">
        <v>1.3375957739940372</v>
      </c>
      <c r="K4854" s="87">
        <v>6.2763483124565074</v>
      </c>
    </row>
    <row r="4855" spans="9:11" x14ac:dyDescent="0.25">
      <c r="I4855" s="86">
        <v>4854</v>
      </c>
      <c r="J4855" s="87">
        <v>0.48655271432698122</v>
      </c>
      <c r="K4855" s="87">
        <v>5.2344420947837929</v>
      </c>
    </row>
    <row r="4856" spans="9:11" x14ac:dyDescent="0.25">
      <c r="I4856" s="86">
        <v>4855</v>
      </c>
      <c r="J4856" s="87">
        <v>16.921653689807194</v>
      </c>
      <c r="K4856" s="87">
        <v>15.47371820056892</v>
      </c>
    </row>
    <row r="4857" spans="9:11" x14ac:dyDescent="0.25">
      <c r="I4857" s="86">
        <v>4856</v>
      </c>
      <c r="J4857" s="87">
        <v>-1.4649279511282409</v>
      </c>
      <c r="K4857" s="87">
        <v>4.4415349932319872</v>
      </c>
    </row>
    <row r="4858" spans="9:11" x14ac:dyDescent="0.25">
      <c r="I4858" s="86">
        <v>4857</v>
      </c>
      <c r="J4858" s="87">
        <v>-0.46506326109577767</v>
      </c>
      <c r="K4858" s="87">
        <v>5.6344523020963173</v>
      </c>
    </row>
    <row r="4859" spans="9:11" x14ac:dyDescent="0.25">
      <c r="I4859" s="86">
        <v>4858</v>
      </c>
      <c r="J4859" s="87">
        <v>2.3839113853912819</v>
      </c>
      <c r="K4859" s="87">
        <v>6.9768042033366964</v>
      </c>
    </row>
    <row r="4860" spans="9:11" x14ac:dyDescent="0.25">
      <c r="I4860" s="86">
        <v>4859</v>
      </c>
      <c r="J4860" s="87">
        <v>1.4281884934588662</v>
      </c>
      <c r="K4860" s="87">
        <v>6.5488908796527268</v>
      </c>
    </row>
    <row r="4861" spans="9:11" x14ac:dyDescent="0.25">
      <c r="I4861" s="86">
        <v>4860</v>
      </c>
      <c r="J4861" s="87">
        <v>0.15077784877859912</v>
      </c>
      <c r="K4861" s="87">
        <v>5.8578674236181367</v>
      </c>
    </row>
    <row r="4862" spans="9:11" x14ac:dyDescent="0.25">
      <c r="I4862" s="86">
        <v>4861</v>
      </c>
      <c r="J4862" s="87">
        <v>0.57109505825425533</v>
      </c>
      <c r="K4862" s="87">
        <v>5.0066967691357505</v>
      </c>
    </row>
    <row r="4863" spans="9:11" x14ac:dyDescent="0.25">
      <c r="I4863" s="86">
        <v>4862</v>
      </c>
      <c r="J4863" s="87">
        <v>5.4361219770980274</v>
      </c>
      <c r="K4863" s="87">
        <v>9.7634532986891784</v>
      </c>
    </row>
    <row r="4864" spans="9:11" x14ac:dyDescent="0.25">
      <c r="I4864" s="86">
        <v>4863</v>
      </c>
      <c r="J4864" s="87">
        <v>-2.3265463853360484</v>
      </c>
      <c r="K4864" s="87">
        <v>4.3149553509238716</v>
      </c>
    </row>
    <row r="4865" spans="9:11" x14ac:dyDescent="0.25">
      <c r="I4865" s="86">
        <v>4864</v>
      </c>
      <c r="J4865" s="87">
        <v>3.6163537098354208</v>
      </c>
      <c r="K4865" s="87">
        <v>9.3516569225155415</v>
      </c>
    </row>
    <row r="4866" spans="9:11" x14ac:dyDescent="0.25">
      <c r="I4866" s="86">
        <v>4865</v>
      </c>
      <c r="J4866" s="87">
        <v>-1.6661238152989388</v>
      </c>
      <c r="K4866" s="87">
        <v>4.3347253127493222</v>
      </c>
    </row>
    <row r="4867" spans="9:11" x14ac:dyDescent="0.25">
      <c r="I4867" s="86">
        <v>4866</v>
      </c>
      <c r="J4867" s="87">
        <v>2.1507242268569104</v>
      </c>
      <c r="K4867" s="87">
        <v>6.1645404171665446</v>
      </c>
    </row>
    <row r="4868" spans="9:11" x14ac:dyDescent="0.25">
      <c r="I4868" s="86">
        <v>4867</v>
      </c>
      <c r="J4868" s="87">
        <v>0.46152260084063279</v>
      </c>
      <c r="K4868" s="87">
        <v>6.7335296124877813</v>
      </c>
    </row>
    <row r="4869" spans="9:11" x14ac:dyDescent="0.25">
      <c r="I4869" s="86">
        <v>4868</v>
      </c>
      <c r="J4869" s="87">
        <v>-0.81390770712019478</v>
      </c>
      <c r="K4869" s="87">
        <v>5.1100321363259793</v>
      </c>
    </row>
    <row r="4870" spans="9:11" x14ac:dyDescent="0.25">
      <c r="I4870" s="86">
        <v>4869</v>
      </c>
      <c r="J4870" s="87">
        <v>-0.13300327363488051</v>
      </c>
      <c r="K4870" s="87">
        <v>7.0385141392811743</v>
      </c>
    </row>
    <row r="4871" spans="9:11" x14ac:dyDescent="0.25">
      <c r="I4871" s="86">
        <v>4870</v>
      </c>
      <c r="J4871" s="87">
        <v>1.1577941047468281</v>
      </c>
      <c r="K4871" s="87">
        <v>6.9940756006365117</v>
      </c>
    </row>
    <row r="4872" spans="9:11" x14ac:dyDescent="0.25">
      <c r="I4872" s="86">
        <v>4871</v>
      </c>
      <c r="J4872" s="87">
        <v>2.6910880287778598</v>
      </c>
      <c r="K4872" s="87">
        <v>8.0549947475846579</v>
      </c>
    </row>
    <row r="4873" spans="9:11" x14ac:dyDescent="0.25">
      <c r="I4873" s="86">
        <v>4872</v>
      </c>
      <c r="J4873" s="87">
        <v>0.32538511770133027</v>
      </c>
      <c r="K4873" s="87">
        <v>6.1176434097158783</v>
      </c>
    </row>
    <row r="4874" spans="9:11" x14ac:dyDescent="0.25">
      <c r="I4874" s="86">
        <v>4873</v>
      </c>
      <c r="J4874" s="87">
        <v>2.8666617049018939</v>
      </c>
      <c r="K4874" s="87">
        <v>6.6426698046736474</v>
      </c>
    </row>
    <row r="4875" spans="9:11" x14ac:dyDescent="0.25">
      <c r="I4875" s="86">
        <v>4874</v>
      </c>
      <c r="J4875" s="87">
        <v>-0.12142634551604736</v>
      </c>
      <c r="K4875" s="87">
        <v>5.3835468228088121</v>
      </c>
    </row>
    <row r="4876" spans="9:11" x14ac:dyDescent="0.25">
      <c r="I4876" s="86">
        <v>4875</v>
      </c>
      <c r="J4876" s="87">
        <v>2.015740138921629</v>
      </c>
      <c r="K4876" s="87">
        <v>5.3199278489814352</v>
      </c>
    </row>
    <row r="4877" spans="9:11" x14ac:dyDescent="0.25">
      <c r="I4877" s="86">
        <v>4876</v>
      </c>
      <c r="J4877" s="87">
        <v>-7.0881951563134926E-2</v>
      </c>
      <c r="K4877" s="87">
        <v>6.8423141948273134</v>
      </c>
    </row>
    <row r="4878" spans="9:11" x14ac:dyDescent="0.25">
      <c r="I4878" s="86">
        <v>4877</v>
      </c>
      <c r="J4878" s="87">
        <v>-0.23980589666825747</v>
      </c>
      <c r="K4878" s="87">
        <v>5.597551646210893</v>
      </c>
    </row>
    <row r="4879" spans="9:11" x14ac:dyDescent="0.25">
      <c r="I4879" s="86">
        <v>4878</v>
      </c>
      <c r="J4879" s="87">
        <v>2.0524122786013779</v>
      </c>
      <c r="K4879" s="87">
        <v>7.2383861102966032</v>
      </c>
    </row>
    <row r="4880" spans="9:11" x14ac:dyDescent="0.25">
      <c r="I4880" s="86">
        <v>4879</v>
      </c>
      <c r="J4880" s="87">
        <v>1.5078686085265822</v>
      </c>
      <c r="K4880" s="87">
        <v>7.4694066510788391</v>
      </c>
    </row>
    <row r="4881" spans="9:11" x14ac:dyDescent="0.25">
      <c r="I4881" s="86">
        <v>4880</v>
      </c>
      <c r="J4881" s="87">
        <v>2.1908119434176321</v>
      </c>
      <c r="K4881" s="87">
        <v>8.1472508211405543</v>
      </c>
    </row>
    <row r="4882" spans="9:11" x14ac:dyDescent="0.25">
      <c r="I4882" s="86">
        <v>4881</v>
      </c>
      <c r="J4882" s="87">
        <v>2.2688552584705848</v>
      </c>
      <c r="K4882" s="87">
        <v>7.6520476420852033</v>
      </c>
    </row>
    <row r="4883" spans="9:11" x14ac:dyDescent="0.25">
      <c r="I4883" s="86">
        <v>4882</v>
      </c>
      <c r="J4883" s="87">
        <v>3.5721534701973532</v>
      </c>
      <c r="K4883" s="87">
        <v>8.0753247063443609</v>
      </c>
    </row>
    <row r="4884" spans="9:11" x14ac:dyDescent="0.25">
      <c r="I4884" s="86">
        <v>4883</v>
      </c>
      <c r="J4884" s="87">
        <v>-0.14025824665322739</v>
      </c>
      <c r="K4884" s="87">
        <v>4.3076523872545973</v>
      </c>
    </row>
    <row r="4885" spans="9:11" x14ac:dyDescent="0.25">
      <c r="I4885" s="86">
        <v>4884</v>
      </c>
      <c r="J4885" s="87">
        <v>1.1162564862593909</v>
      </c>
      <c r="K4885" s="87">
        <v>7.6930185309992343</v>
      </c>
    </row>
    <row r="4886" spans="9:11" x14ac:dyDescent="0.25">
      <c r="I4886" s="86">
        <v>4885</v>
      </c>
      <c r="J4886" s="87">
        <v>-5.4841436277341948E-2</v>
      </c>
      <c r="K4886" s="87">
        <v>8.2987240693181903</v>
      </c>
    </row>
    <row r="4887" spans="9:11" x14ac:dyDescent="0.25">
      <c r="I4887" s="86">
        <v>4886</v>
      </c>
      <c r="J4887" s="87">
        <v>1.7948679022209966</v>
      </c>
      <c r="K4887" s="87">
        <v>7.163187240998484</v>
      </c>
    </row>
    <row r="4888" spans="9:11" x14ac:dyDescent="0.25">
      <c r="I4888" s="86">
        <v>4887</v>
      </c>
      <c r="J4888" s="87">
        <v>3.6250040327941164</v>
      </c>
      <c r="K4888" s="87">
        <v>7.2313005877834948</v>
      </c>
    </row>
    <row r="4889" spans="9:11" x14ac:dyDescent="0.25">
      <c r="I4889" s="86">
        <v>4888</v>
      </c>
      <c r="J4889" s="87">
        <v>-0.21036973876543374</v>
      </c>
      <c r="K4889" s="87">
        <v>6.8763202960823699</v>
      </c>
    </row>
    <row r="4890" spans="9:11" x14ac:dyDescent="0.25">
      <c r="I4890" s="86">
        <v>4889</v>
      </c>
      <c r="J4890" s="87">
        <v>0.70383960226098186</v>
      </c>
      <c r="K4890" s="87">
        <v>7.0950268042464026</v>
      </c>
    </row>
    <row r="4891" spans="9:11" x14ac:dyDescent="0.25">
      <c r="I4891" s="86">
        <v>4890</v>
      </c>
      <c r="J4891" s="87">
        <v>3.0661501813813627</v>
      </c>
      <c r="K4891" s="87">
        <v>9.0383939861073408</v>
      </c>
    </row>
    <row r="4892" spans="9:11" x14ac:dyDescent="0.25">
      <c r="I4892" s="86">
        <v>4891</v>
      </c>
      <c r="J4892" s="87">
        <v>1.6782744285477103</v>
      </c>
      <c r="K4892" s="87">
        <v>7.2514276749415725</v>
      </c>
    </row>
    <row r="4893" spans="9:11" x14ac:dyDescent="0.25">
      <c r="I4893" s="86">
        <v>4892</v>
      </c>
      <c r="J4893" s="87">
        <v>1.5376709857661419</v>
      </c>
      <c r="K4893" s="87">
        <v>5.5956240357709017</v>
      </c>
    </row>
    <row r="4894" spans="9:11" x14ac:dyDescent="0.25">
      <c r="I4894" s="86">
        <v>4893</v>
      </c>
      <c r="J4894" s="87">
        <v>1.4456663396406531</v>
      </c>
      <c r="K4894" s="87">
        <v>5.7397925020069156</v>
      </c>
    </row>
    <row r="4895" spans="9:11" x14ac:dyDescent="0.25">
      <c r="I4895" s="86">
        <v>4894</v>
      </c>
      <c r="J4895" s="87">
        <v>5.0560702923632812</v>
      </c>
      <c r="K4895" s="87">
        <v>8.4567332334602945</v>
      </c>
    </row>
    <row r="4896" spans="9:11" x14ac:dyDescent="0.25">
      <c r="I4896" s="86">
        <v>4895</v>
      </c>
      <c r="J4896" s="87">
        <v>2.1961790689659475</v>
      </c>
      <c r="K4896" s="87">
        <v>6.580158639023912</v>
      </c>
    </row>
    <row r="4897" spans="9:11" x14ac:dyDescent="0.25">
      <c r="I4897" s="86">
        <v>4896</v>
      </c>
      <c r="J4897" s="87">
        <v>3.4903910490265275</v>
      </c>
      <c r="K4897" s="87">
        <v>7.0849824707330233</v>
      </c>
    </row>
    <row r="4898" spans="9:11" x14ac:dyDescent="0.25">
      <c r="I4898" s="86">
        <v>4897</v>
      </c>
      <c r="J4898" s="87">
        <v>1.3311464446311678</v>
      </c>
      <c r="K4898" s="87">
        <v>6.1810640220455655</v>
      </c>
    </row>
    <row r="4899" spans="9:11" x14ac:dyDescent="0.25">
      <c r="I4899" s="86">
        <v>4898</v>
      </c>
      <c r="J4899" s="87">
        <v>2.4518852792366514</v>
      </c>
      <c r="K4899" s="87">
        <v>6.0482196836724</v>
      </c>
    </row>
    <row r="4900" spans="9:11" x14ac:dyDescent="0.25">
      <c r="I4900" s="86">
        <v>4899</v>
      </c>
      <c r="J4900" s="87">
        <v>-0.9052641659832128</v>
      </c>
      <c r="K4900" s="87">
        <v>5.0106385315676603</v>
      </c>
    </row>
    <row r="4901" spans="9:11" x14ac:dyDescent="0.25">
      <c r="I4901" s="86">
        <v>4900</v>
      </c>
      <c r="J4901" s="87">
        <v>0.6750795521353341</v>
      </c>
      <c r="K4901" s="87">
        <v>6.2537479709894734</v>
      </c>
    </row>
    <row r="4902" spans="9:11" x14ac:dyDescent="0.25">
      <c r="I4902" s="86">
        <v>4901</v>
      </c>
      <c r="J4902" s="87">
        <v>-0.85526409692139271</v>
      </c>
      <c r="K4902" s="87">
        <v>5.8574892030544188</v>
      </c>
    </row>
    <row r="4903" spans="9:11" x14ac:dyDescent="0.25">
      <c r="I4903" s="86">
        <v>4902</v>
      </c>
      <c r="J4903" s="87">
        <v>2.3711336381155004</v>
      </c>
      <c r="K4903" s="87">
        <v>6.3969764868570334</v>
      </c>
    </row>
    <row r="4904" spans="9:11" x14ac:dyDescent="0.25">
      <c r="I4904" s="86">
        <v>4903</v>
      </c>
      <c r="J4904" s="87">
        <v>0.34659163635001455</v>
      </c>
      <c r="K4904" s="87">
        <v>6.0906132647652047</v>
      </c>
    </row>
    <row r="4905" spans="9:11" x14ac:dyDescent="0.25">
      <c r="I4905" s="86">
        <v>4904</v>
      </c>
      <c r="J4905" s="87">
        <v>3.2006501114255608</v>
      </c>
      <c r="K4905" s="87">
        <v>8.3342300790882717</v>
      </c>
    </row>
    <row r="4906" spans="9:11" x14ac:dyDescent="0.25">
      <c r="I4906" s="86">
        <v>4905</v>
      </c>
      <c r="J4906" s="87">
        <v>0.79811384678040298</v>
      </c>
      <c r="K4906" s="87">
        <v>6.133775396777958</v>
      </c>
    </row>
    <row r="4907" spans="9:11" x14ac:dyDescent="0.25">
      <c r="I4907" s="86">
        <v>4906</v>
      </c>
      <c r="J4907" s="87">
        <v>0.65015179900741593</v>
      </c>
      <c r="K4907" s="87">
        <v>6.3214256690688764</v>
      </c>
    </row>
    <row r="4908" spans="9:11" x14ac:dyDescent="0.25">
      <c r="I4908" s="86">
        <v>4907</v>
      </c>
      <c r="J4908" s="87">
        <v>4.1697038424249051</v>
      </c>
      <c r="K4908" s="87">
        <v>9.6263408104282</v>
      </c>
    </row>
    <row r="4909" spans="9:11" x14ac:dyDescent="0.25">
      <c r="I4909" s="86">
        <v>4908</v>
      </c>
      <c r="J4909" s="87">
        <v>1.7266138675355727</v>
      </c>
      <c r="K4909" s="87">
        <v>6.1554581607339607</v>
      </c>
    </row>
    <row r="4910" spans="9:11" x14ac:dyDescent="0.25">
      <c r="I4910" s="86">
        <v>4909</v>
      </c>
      <c r="J4910" s="87">
        <v>1.4743415231191763</v>
      </c>
      <c r="K4910" s="87">
        <v>6.410485006453337</v>
      </c>
    </row>
    <row r="4911" spans="9:11" x14ac:dyDescent="0.25">
      <c r="I4911" s="86">
        <v>4910</v>
      </c>
      <c r="J4911" s="87">
        <v>0.39229491542012962</v>
      </c>
      <c r="K4911" s="87">
        <v>5.148872619075445</v>
      </c>
    </row>
    <row r="4912" spans="9:11" x14ac:dyDescent="0.25">
      <c r="I4912" s="86">
        <v>4911</v>
      </c>
      <c r="J4912" s="87">
        <v>2.1070638247196811</v>
      </c>
      <c r="K4912" s="87">
        <v>8.5477852196688584</v>
      </c>
    </row>
    <row r="4913" spans="9:11" x14ac:dyDescent="0.25">
      <c r="I4913" s="86">
        <v>4912</v>
      </c>
      <c r="J4913" s="87">
        <v>2.5368584625447248</v>
      </c>
      <c r="K4913" s="87">
        <v>7.4441594950200578</v>
      </c>
    </row>
    <row r="4914" spans="9:11" x14ac:dyDescent="0.25">
      <c r="I4914" s="86">
        <v>4913</v>
      </c>
      <c r="J4914" s="87">
        <v>-0.23509327667985058</v>
      </c>
      <c r="K4914" s="87">
        <v>6.8999516254226325</v>
      </c>
    </row>
    <row r="4915" spans="9:11" x14ac:dyDescent="0.25">
      <c r="I4915" s="86">
        <v>4914</v>
      </c>
      <c r="J4915" s="87">
        <v>-2.4343320500687327E-2</v>
      </c>
      <c r="K4915" s="87">
        <v>4.8484919110533715</v>
      </c>
    </row>
    <row r="4916" spans="9:11" x14ac:dyDescent="0.25">
      <c r="I4916" s="86">
        <v>4915</v>
      </c>
      <c r="J4916" s="87">
        <v>-9.060362502090058E-2</v>
      </c>
      <c r="K4916" s="87">
        <v>5.9515372592149909</v>
      </c>
    </row>
    <row r="4917" spans="9:11" x14ac:dyDescent="0.25">
      <c r="I4917" s="86">
        <v>4916</v>
      </c>
      <c r="J4917" s="87">
        <v>2.651062716281591</v>
      </c>
      <c r="K4917" s="87">
        <v>8.344478974663847</v>
      </c>
    </row>
    <row r="4918" spans="9:11" x14ac:dyDescent="0.25">
      <c r="I4918" s="86">
        <v>4917</v>
      </c>
      <c r="J4918" s="87">
        <v>1.0445300872956396</v>
      </c>
      <c r="K4918" s="87">
        <v>6.0684645663866741</v>
      </c>
    </row>
    <row r="4919" spans="9:11" x14ac:dyDescent="0.25">
      <c r="I4919" s="86">
        <v>4918</v>
      </c>
      <c r="J4919" s="87">
        <v>0.94077180881170985</v>
      </c>
      <c r="K4919" s="87">
        <v>6.3631891943545202</v>
      </c>
    </row>
    <row r="4920" spans="9:11" x14ac:dyDescent="0.25">
      <c r="I4920" s="86">
        <v>4919</v>
      </c>
      <c r="J4920" s="87">
        <v>3.0740599871748495</v>
      </c>
      <c r="K4920" s="87">
        <v>6.7856861291678374</v>
      </c>
    </row>
    <row r="4921" spans="9:11" x14ac:dyDescent="0.25">
      <c r="I4921" s="86">
        <v>4920</v>
      </c>
      <c r="J4921" s="87">
        <v>1.0457410214552061</v>
      </c>
      <c r="K4921" s="87">
        <v>5.5344547853776245</v>
      </c>
    </row>
    <row r="4922" spans="9:11" x14ac:dyDescent="0.25">
      <c r="I4922" s="86">
        <v>4921</v>
      </c>
      <c r="J4922" s="87">
        <v>1.5591524695075485</v>
      </c>
      <c r="K4922" s="87">
        <v>7.5220927969295861</v>
      </c>
    </row>
    <row r="4923" spans="9:11" x14ac:dyDescent="0.25">
      <c r="I4923" s="86">
        <v>4922</v>
      </c>
      <c r="J4923" s="87">
        <v>-0.90035365971783232</v>
      </c>
      <c r="K4923" s="87">
        <v>4.844107479026408</v>
      </c>
    </row>
    <row r="4924" spans="9:11" x14ac:dyDescent="0.25">
      <c r="I4924" s="86">
        <v>4923</v>
      </c>
      <c r="J4924" s="87">
        <v>7.6368208451950412</v>
      </c>
      <c r="K4924" s="87">
        <v>11.514786226140568</v>
      </c>
    </row>
    <row r="4925" spans="9:11" x14ac:dyDescent="0.25">
      <c r="I4925" s="86">
        <v>4924</v>
      </c>
      <c r="J4925" s="87">
        <v>3.9127911939712767E-2</v>
      </c>
      <c r="K4925" s="87">
        <v>6.267258079937295</v>
      </c>
    </row>
    <row r="4926" spans="9:11" x14ac:dyDescent="0.25">
      <c r="I4926" s="86">
        <v>4925</v>
      </c>
      <c r="J4926" s="87">
        <v>1.0569284670135648</v>
      </c>
      <c r="K4926" s="87">
        <v>6.1639999584958778</v>
      </c>
    </row>
    <row r="4927" spans="9:11" x14ac:dyDescent="0.25">
      <c r="I4927" s="86">
        <v>4926</v>
      </c>
      <c r="J4927" s="87">
        <v>2.9298487939623552</v>
      </c>
      <c r="K4927" s="87">
        <v>8.8835728738218229</v>
      </c>
    </row>
    <row r="4928" spans="9:11" x14ac:dyDescent="0.25">
      <c r="I4928" s="86">
        <v>4927</v>
      </c>
      <c r="J4928" s="87">
        <v>3.4009292932757678</v>
      </c>
      <c r="K4928" s="87">
        <v>6.4201351013156591</v>
      </c>
    </row>
    <row r="4929" spans="9:11" x14ac:dyDescent="0.25">
      <c r="I4929" s="86">
        <v>4928</v>
      </c>
      <c r="J4929" s="87">
        <v>-0.89611329630267811</v>
      </c>
      <c r="K4929" s="87">
        <v>5.3222912509296325</v>
      </c>
    </row>
    <row r="4930" spans="9:11" x14ac:dyDescent="0.25">
      <c r="I4930" s="86">
        <v>4929</v>
      </c>
      <c r="J4930" s="87">
        <v>8.0923685592013097</v>
      </c>
      <c r="K4930" s="87">
        <v>7.7998873284859425</v>
      </c>
    </row>
    <row r="4931" spans="9:11" x14ac:dyDescent="0.25">
      <c r="I4931" s="86">
        <v>4930</v>
      </c>
      <c r="J4931" s="87">
        <v>6.1870820492204714E-2</v>
      </c>
      <c r="K4931" s="87">
        <v>5.9048176505351906</v>
      </c>
    </row>
    <row r="4932" spans="9:11" x14ac:dyDescent="0.25">
      <c r="I4932" s="86">
        <v>4931</v>
      </c>
      <c r="J4932" s="87">
        <v>3.1335790409259205</v>
      </c>
      <c r="K4932" s="87">
        <v>9.0622029385076601</v>
      </c>
    </row>
    <row r="4933" spans="9:11" x14ac:dyDescent="0.25">
      <c r="I4933" s="86">
        <v>4932</v>
      </c>
      <c r="J4933" s="87">
        <v>3.3528198354059633</v>
      </c>
      <c r="K4933" s="87">
        <v>6.4520975854135623</v>
      </c>
    </row>
    <row r="4934" spans="9:11" x14ac:dyDescent="0.25">
      <c r="I4934" s="86">
        <v>4933</v>
      </c>
      <c r="J4934" s="87">
        <v>1.4041427485390754</v>
      </c>
      <c r="K4934" s="87">
        <v>6.1844346412786111</v>
      </c>
    </row>
    <row r="4935" spans="9:11" x14ac:dyDescent="0.25">
      <c r="I4935" s="86">
        <v>4934</v>
      </c>
      <c r="J4935" s="87">
        <v>2.0242432672598056</v>
      </c>
      <c r="K4935" s="87">
        <v>8.0190572536090539</v>
      </c>
    </row>
    <row r="4936" spans="9:11" x14ac:dyDescent="0.25">
      <c r="I4936" s="86">
        <v>4935</v>
      </c>
      <c r="J4936" s="87">
        <v>5.9669857446096266</v>
      </c>
      <c r="K4936" s="87">
        <v>10.643546902391979</v>
      </c>
    </row>
    <row r="4937" spans="9:11" x14ac:dyDescent="0.25">
      <c r="I4937" s="86">
        <v>4936</v>
      </c>
      <c r="J4937" s="87">
        <v>2.3005521234620625</v>
      </c>
      <c r="K4937" s="87">
        <v>6.5532847983968523</v>
      </c>
    </row>
    <row r="4938" spans="9:11" x14ac:dyDescent="0.25">
      <c r="I4938" s="86">
        <v>4937</v>
      </c>
      <c r="J4938" s="87">
        <v>0.81804804841451784</v>
      </c>
      <c r="K4938" s="87">
        <v>6.9235605668485904</v>
      </c>
    </row>
    <row r="4939" spans="9:11" x14ac:dyDescent="0.25">
      <c r="I4939" s="86">
        <v>4938</v>
      </c>
      <c r="J4939" s="87">
        <v>4.3441354658360956</v>
      </c>
      <c r="K4939" s="87">
        <v>8.6362162223089936</v>
      </c>
    </row>
    <row r="4940" spans="9:11" x14ac:dyDescent="0.25">
      <c r="I4940" s="86">
        <v>4939</v>
      </c>
      <c r="J4940" s="87">
        <v>1.7300509779514037</v>
      </c>
      <c r="K4940" s="87">
        <v>8.2701170974412648</v>
      </c>
    </row>
    <row r="4941" spans="9:11" x14ac:dyDescent="0.25">
      <c r="I4941" s="86">
        <v>4940</v>
      </c>
      <c r="J4941" s="87">
        <v>1.4842682208774667</v>
      </c>
      <c r="K4941" s="87">
        <v>7.1746086837406393</v>
      </c>
    </row>
    <row r="4942" spans="9:11" x14ac:dyDescent="0.25">
      <c r="I4942" s="86">
        <v>4941</v>
      </c>
      <c r="J4942" s="87">
        <v>3.3706954060207552</v>
      </c>
      <c r="K4942" s="87">
        <v>9.2543161657802244</v>
      </c>
    </row>
    <row r="4943" spans="9:11" x14ac:dyDescent="0.25">
      <c r="I4943" s="86">
        <v>4942</v>
      </c>
      <c r="J4943" s="87">
        <v>0.36757270847041834</v>
      </c>
      <c r="K4943" s="87">
        <v>6.7026751895769818</v>
      </c>
    </row>
    <row r="4944" spans="9:11" x14ac:dyDescent="0.25">
      <c r="I4944" s="86">
        <v>4943</v>
      </c>
      <c r="J4944" s="87">
        <v>-0.6141023805141721</v>
      </c>
      <c r="K4944" s="87">
        <v>5.1866874767196505</v>
      </c>
    </row>
    <row r="4945" spans="9:11" x14ac:dyDescent="0.25">
      <c r="I4945" s="86">
        <v>4944</v>
      </c>
      <c r="J4945" s="87">
        <v>1.9117404264969133</v>
      </c>
      <c r="K4945" s="87">
        <v>6.8702357723579324</v>
      </c>
    </row>
    <row r="4946" spans="9:11" x14ac:dyDescent="0.25">
      <c r="I4946" s="86">
        <v>4945</v>
      </c>
      <c r="J4946" s="87">
        <v>0.19130672264705062</v>
      </c>
      <c r="K4946" s="87">
        <v>5.596819149691413</v>
      </c>
    </row>
    <row r="4947" spans="9:11" x14ac:dyDescent="0.25">
      <c r="I4947" s="86">
        <v>4946</v>
      </c>
      <c r="J4947" s="87">
        <v>-0.77388177139904002</v>
      </c>
      <c r="K4947" s="87">
        <v>5.8386608696766995</v>
      </c>
    </row>
    <row r="4948" spans="9:11" x14ac:dyDescent="0.25">
      <c r="I4948" s="86">
        <v>4947</v>
      </c>
      <c r="J4948" s="87">
        <v>8.7228738791845828</v>
      </c>
      <c r="K4948" s="87">
        <v>11.391964663591851</v>
      </c>
    </row>
    <row r="4949" spans="9:11" x14ac:dyDescent="0.25">
      <c r="I4949" s="86">
        <v>4948</v>
      </c>
      <c r="J4949" s="87">
        <v>3.5507969272001487</v>
      </c>
      <c r="K4949" s="87">
        <v>5.9732324095320806</v>
      </c>
    </row>
    <row r="4950" spans="9:11" x14ac:dyDescent="0.25">
      <c r="I4950" s="86">
        <v>4949</v>
      </c>
      <c r="J4950" s="87">
        <v>0.56797199607536175</v>
      </c>
      <c r="K4950" s="87">
        <v>5.3270745232260621</v>
      </c>
    </row>
    <row r="4951" spans="9:11" x14ac:dyDescent="0.25">
      <c r="I4951" s="86">
        <v>4950</v>
      </c>
      <c r="J4951" s="87">
        <v>-0.8573265409251114</v>
      </c>
      <c r="K4951" s="87">
        <v>5.3062592449528569</v>
      </c>
    </row>
    <row r="4952" spans="9:11" x14ac:dyDescent="0.25">
      <c r="I4952" s="86">
        <v>4951</v>
      </c>
      <c r="J4952" s="87">
        <v>-0.62215513068366768</v>
      </c>
      <c r="K4952" s="87">
        <v>5.7252124114236294</v>
      </c>
    </row>
    <row r="4953" spans="9:11" x14ac:dyDescent="0.25">
      <c r="I4953" s="86">
        <v>4952</v>
      </c>
      <c r="J4953" s="87">
        <v>1.746203726019389</v>
      </c>
      <c r="K4953" s="87">
        <v>8.021999087739891</v>
      </c>
    </row>
    <row r="4954" spans="9:11" x14ac:dyDescent="0.25">
      <c r="I4954" s="86">
        <v>4953</v>
      </c>
      <c r="J4954" s="87">
        <v>0.27056544342223265</v>
      </c>
      <c r="K4954" s="87">
        <v>6.2627836308362035</v>
      </c>
    </row>
    <row r="4955" spans="9:11" x14ac:dyDescent="0.25">
      <c r="I4955" s="86">
        <v>4954</v>
      </c>
      <c r="J4955" s="87">
        <v>-0.14228310470278505</v>
      </c>
      <c r="K4955" s="87">
        <v>6.8494147357593249</v>
      </c>
    </row>
    <row r="4956" spans="9:11" x14ac:dyDescent="0.25">
      <c r="I4956" s="86">
        <v>4955</v>
      </c>
      <c r="J4956" s="87">
        <v>2.1451360673975008</v>
      </c>
      <c r="K4956" s="87">
        <v>6.5103064188233333</v>
      </c>
    </row>
    <row r="4957" spans="9:11" x14ac:dyDescent="0.25">
      <c r="I4957" s="86">
        <v>4956</v>
      </c>
      <c r="J4957" s="87">
        <v>1.2004224238808963</v>
      </c>
      <c r="K4957" s="87">
        <v>7.3901349691051843</v>
      </c>
    </row>
    <row r="4958" spans="9:11" x14ac:dyDescent="0.25">
      <c r="I4958" s="86">
        <v>4957</v>
      </c>
      <c r="J4958" s="87">
        <v>-1.5877356771367164</v>
      </c>
      <c r="K4958" s="87">
        <v>4.158951503484893</v>
      </c>
    </row>
    <row r="4959" spans="9:11" x14ac:dyDescent="0.25">
      <c r="I4959" s="86">
        <v>4958</v>
      </c>
      <c r="J4959" s="87">
        <v>2.3637447060900429</v>
      </c>
      <c r="K4959" s="87">
        <v>7.7483771334670326</v>
      </c>
    </row>
    <row r="4960" spans="9:11" x14ac:dyDescent="0.25">
      <c r="I4960" s="86">
        <v>4959</v>
      </c>
      <c r="J4960" s="87">
        <v>5.8578645277745487</v>
      </c>
      <c r="K4960" s="87">
        <v>10.463438658908302</v>
      </c>
    </row>
    <row r="4961" spans="9:11" x14ac:dyDescent="0.25">
      <c r="I4961" s="86">
        <v>4960</v>
      </c>
      <c r="J4961" s="87">
        <v>1.9540714609603844</v>
      </c>
      <c r="K4961" s="87">
        <v>6.5804482131757158</v>
      </c>
    </row>
    <row r="4962" spans="9:11" x14ac:dyDescent="0.25">
      <c r="I4962" s="86">
        <v>4961</v>
      </c>
      <c r="J4962" s="87">
        <v>2.5586268625193469</v>
      </c>
      <c r="K4962" s="87">
        <v>7.794701914339873</v>
      </c>
    </row>
    <row r="4963" spans="9:11" x14ac:dyDescent="0.25">
      <c r="I4963" s="86">
        <v>4962</v>
      </c>
      <c r="J4963" s="87">
        <v>4.1478890483225612</v>
      </c>
      <c r="K4963" s="87">
        <v>10.548831067660458</v>
      </c>
    </row>
    <row r="4964" spans="9:11" x14ac:dyDescent="0.25">
      <c r="I4964" s="86">
        <v>4963</v>
      </c>
      <c r="J4964" s="87">
        <v>2.2368825748271739</v>
      </c>
      <c r="K4964" s="87">
        <v>6.9485842177279356</v>
      </c>
    </row>
    <row r="4965" spans="9:11" x14ac:dyDescent="0.25">
      <c r="I4965" s="86">
        <v>4964</v>
      </c>
      <c r="J4965" s="87">
        <v>2.7178905409225935</v>
      </c>
      <c r="K4965" s="87">
        <v>6.7189997628266918</v>
      </c>
    </row>
    <row r="4966" spans="9:11" x14ac:dyDescent="0.25">
      <c r="I4966" s="86">
        <v>4965</v>
      </c>
      <c r="J4966" s="87">
        <v>11.510569774137197</v>
      </c>
      <c r="K4966" s="87">
        <v>13.030390171286333</v>
      </c>
    </row>
    <row r="4967" spans="9:11" x14ac:dyDescent="0.25">
      <c r="I4967" s="86">
        <v>4966</v>
      </c>
      <c r="J4967" s="87">
        <v>0.68644074092025331</v>
      </c>
      <c r="K4967" s="87">
        <v>9.0874894641104156</v>
      </c>
    </row>
    <row r="4968" spans="9:11" x14ac:dyDescent="0.25">
      <c r="I4968" s="86">
        <v>4967</v>
      </c>
      <c r="J4968" s="87">
        <v>2.6764662790576121</v>
      </c>
      <c r="K4968" s="87">
        <v>10.825718362228596</v>
      </c>
    </row>
    <row r="4969" spans="9:11" x14ac:dyDescent="0.25">
      <c r="I4969" s="86">
        <v>4968</v>
      </c>
      <c r="J4969" s="87">
        <v>0.65498525529033991</v>
      </c>
      <c r="K4969" s="87">
        <v>6.8816485907288865</v>
      </c>
    </row>
    <row r="4970" spans="9:11" x14ac:dyDescent="0.25">
      <c r="I4970" s="86">
        <v>4969</v>
      </c>
      <c r="J4970" s="87">
        <v>-0.59584842030099283</v>
      </c>
      <c r="K4970" s="87">
        <v>4.7983639129347688</v>
      </c>
    </row>
    <row r="4971" spans="9:11" x14ac:dyDescent="0.25">
      <c r="I4971" s="86">
        <v>4970</v>
      </c>
      <c r="J4971" s="87">
        <v>-0.74419034513576054</v>
      </c>
      <c r="K4971" s="87">
        <v>5.9904942080288839</v>
      </c>
    </row>
    <row r="4972" spans="9:11" x14ac:dyDescent="0.25">
      <c r="I4972" s="86">
        <v>4971</v>
      </c>
      <c r="J4972" s="87">
        <v>1.634678405455543</v>
      </c>
      <c r="K4972" s="87">
        <v>7.6490680321366264</v>
      </c>
    </row>
    <row r="4973" spans="9:11" x14ac:dyDescent="0.25">
      <c r="I4973" s="86">
        <v>4972</v>
      </c>
      <c r="J4973" s="87">
        <v>5.8063207941247912</v>
      </c>
      <c r="K4973" s="87">
        <v>8.7211305879219072</v>
      </c>
    </row>
    <row r="4974" spans="9:11" x14ac:dyDescent="0.25">
      <c r="I4974" s="86">
        <v>4973</v>
      </c>
      <c r="J4974" s="87">
        <v>1.9833774935872359</v>
      </c>
      <c r="K4974" s="87">
        <v>6.7412164594120485</v>
      </c>
    </row>
    <row r="4975" spans="9:11" x14ac:dyDescent="0.25">
      <c r="I4975" s="86">
        <v>4974</v>
      </c>
      <c r="J4975" s="87">
        <v>-0.5068813492084594</v>
      </c>
      <c r="K4975" s="87">
        <v>5.4011887477611067</v>
      </c>
    </row>
    <row r="4976" spans="9:11" x14ac:dyDescent="0.25">
      <c r="I4976" s="86">
        <v>4975</v>
      </c>
      <c r="J4976" s="87">
        <v>3.1632680454446178</v>
      </c>
      <c r="K4976" s="87">
        <v>4.6190718378738636</v>
      </c>
    </row>
    <row r="4977" spans="9:11" x14ac:dyDescent="0.25">
      <c r="I4977" s="86">
        <v>4976</v>
      </c>
      <c r="J4977" s="87">
        <v>-1.3836245073518136</v>
      </c>
      <c r="K4977" s="87">
        <v>4.8203368982445189</v>
      </c>
    </row>
    <row r="4978" spans="9:11" x14ac:dyDescent="0.25">
      <c r="I4978" s="86">
        <v>4977</v>
      </c>
      <c r="J4978" s="87">
        <v>-0.85783077304748101</v>
      </c>
      <c r="K4978" s="87">
        <v>4.2595901976260615</v>
      </c>
    </row>
    <row r="4979" spans="9:11" x14ac:dyDescent="0.25">
      <c r="I4979" s="86">
        <v>4978</v>
      </c>
      <c r="J4979" s="87">
        <v>1.6717436752207231</v>
      </c>
      <c r="K4979" s="87">
        <v>7.2286666784870777</v>
      </c>
    </row>
    <row r="4980" spans="9:11" x14ac:dyDescent="0.25">
      <c r="I4980" s="86">
        <v>4979</v>
      </c>
      <c r="J4980" s="87">
        <v>2.0111019090313142</v>
      </c>
      <c r="K4980" s="87">
        <v>7.0158419049885739</v>
      </c>
    </row>
    <row r="4981" spans="9:11" x14ac:dyDescent="0.25">
      <c r="I4981" s="86">
        <v>4980</v>
      </c>
      <c r="J4981" s="87">
        <v>-0.52651028657897925</v>
      </c>
      <c r="K4981" s="87">
        <v>5.0451547832539907</v>
      </c>
    </row>
    <row r="4982" spans="9:11" x14ac:dyDescent="0.25">
      <c r="I4982" s="86">
        <v>4981</v>
      </c>
      <c r="J4982" s="87">
        <v>1.2917424289912489</v>
      </c>
      <c r="K4982" s="87">
        <v>7.8883526184301367</v>
      </c>
    </row>
    <row r="4983" spans="9:11" x14ac:dyDescent="0.25">
      <c r="I4983" s="86">
        <v>4982</v>
      </c>
      <c r="J4983" s="87">
        <v>-0.15058332194069379</v>
      </c>
      <c r="K4983" s="87">
        <v>5.0338293031245174</v>
      </c>
    </row>
    <row r="4984" spans="9:11" x14ac:dyDescent="0.25">
      <c r="I4984" s="86">
        <v>4983</v>
      </c>
      <c r="J4984" s="87">
        <v>-1.1688129571027854</v>
      </c>
      <c r="K4984" s="87">
        <v>6.5944626407487767</v>
      </c>
    </row>
    <row r="4985" spans="9:11" x14ac:dyDescent="0.25">
      <c r="I4985" s="86">
        <v>4984</v>
      </c>
      <c r="J4985" s="87">
        <v>0.94629963660886274</v>
      </c>
      <c r="K4985" s="87">
        <v>5.85970449869306</v>
      </c>
    </row>
    <row r="4986" spans="9:11" x14ac:dyDescent="0.25">
      <c r="I4986" s="86">
        <v>4985</v>
      </c>
      <c r="J4986" s="87">
        <v>4.4087654252238071</v>
      </c>
      <c r="K4986" s="87">
        <v>8.5492960981947892</v>
      </c>
    </row>
    <row r="4987" spans="9:11" x14ac:dyDescent="0.25">
      <c r="I4987" s="86">
        <v>4986</v>
      </c>
      <c r="J4987" s="87">
        <v>-1.1026055860573747</v>
      </c>
      <c r="K4987" s="87">
        <v>4.6335308806265916</v>
      </c>
    </row>
    <row r="4988" spans="9:11" x14ac:dyDescent="0.25">
      <c r="I4988" s="86">
        <v>4987</v>
      </c>
      <c r="J4988" s="87">
        <v>0.4899857189628829</v>
      </c>
      <c r="K4988" s="87">
        <v>4.9906945854678559</v>
      </c>
    </row>
    <row r="4989" spans="9:11" x14ac:dyDescent="0.25">
      <c r="I4989" s="86">
        <v>4988</v>
      </c>
      <c r="J4989" s="87">
        <v>5.8865503767452267</v>
      </c>
      <c r="K4989" s="87">
        <v>9.312845706980033</v>
      </c>
    </row>
    <row r="4990" spans="9:11" x14ac:dyDescent="0.25">
      <c r="I4990" s="86">
        <v>4989</v>
      </c>
      <c r="J4990" s="87">
        <v>2.6911661606376267</v>
      </c>
      <c r="K4990" s="87">
        <v>9.2563349718234242</v>
      </c>
    </row>
    <row r="4991" spans="9:11" x14ac:dyDescent="0.25">
      <c r="I4991" s="86">
        <v>4990</v>
      </c>
      <c r="J4991" s="87">
        <v>4.9061823309039525</v>
      </c>
      <c r="K4991" s="87">
        <v>9.5659038395341849</v>
      </c>
    </row>
    <row r="4992" spans="9:11" x14ac:dyDescent="0.25">
      <c r="I4992" s="86">
        <v>4991</v>
      </c>
      <c r="J4992" s="87">
        <v>5.272979675503553E-2</v>
      </c>
      <c r="K4992" s="87">
        <v>4.7619920822496509</v>
      </c>
    </row>
    <row r="4993" spans="9:11" x14ac:dyDescent="0.25">
      <c r="I4993" s="86">
        <v>4992</v>
      </c>
      <c r="J4993" s="87">
        <v>1.0380063984112411</v>
      </c>
      <c r="K4993" s="87">
        <v>7.5857838962974018</v>
      </c>
    </row>
    <row r="4994" spans="9:11" x14ac:dyDescent="0.25">
      <c r="I4994" s="86">
        <v>4993</v>
      </c>
      <c r="J4994" s="87">
        <v>1.0399846159190584</v>
      </c>
      <c r="K4994" s="87">
        <v>8.1829242423513406</v>
      </c>
    </row>
    <row r="4995" spans="9:11" x14ac:dyDescent="0.25">
      <c r="I4995" s="86">
        <v>4994</v>
      </c>
      <c r="J4995" s="87">
        <v>1.5753460751818178</v>
      </c>
      <c r="K4995" s="87">
        <v>6.4630185098428505</v>
      </c>
    </row>
    <row r="4996" spans="9:11" x14ac:dyDescent="0.25">
      <c r="I4996" s="86">
        <v>4995</v>
      </c>
      <c r="J4996" s="87">
        <v>3.2662508539140589</v>
      </c>
      <c r="K4996" s="87">
        <v>7.8947322929773884</v>
      </c>
    </row>
    <row r="4997" spans="9:11" x14ac:dyDescent="0.25">
      <c r="I4997" s="86">
        <v>4996</v>
      </c>
      <c r="J4997" s="87">
        <v>1.4257546342360463</v>
      </c>
      <c r="K4997" s="87">
        <v>5.4049033822698513</v>
      </c>
    </row>
    <row r="4998" spans="9:11" x14ac:dyDescent="0.25">
      <c r="I4998" s="86">
        <v>4997</v>
      </c>
      <c r="J4998" s="87">
        <v>3.8760689582281724</v>
      </c>
      <c r="K4998" s="87">
        <v>8.9604034712089007</v>
      </c>
    </row>
    <row r="4999" spans="9:11" x14ac:dyDescent="0.25">
      <c r="I4999" s="86">
        <v>4998</v>
      </c>
      <c r="J4999" s="87">
        <v>1.6755749256126675</v>
      </c>
      <c r="K4999" s="87">
        <v>6.6010684479947423</v>
      </c>
    </row>
    <row r="5000" spans="9:11" x14ac:dyDescent="0.25">
      <c r="I5000" s="86">
        <v>4999</v>
      </c>
      <c r="J5000" s="87">
        <v>1.3466327206079169</v>
      </c>
      <c r="K5000" s="87">
        <v>6.8144287559042178</v>
      </c>
    </row>
    <row r="5001" spans="9:11" x14ac:dyDescent="0.25">
      <c r="I5001" s="86">
        <v>5000</v>
      </c>
      <c r="J5001" s="87">
        <v>3.1481464178596017</v>
      </c>
      <c r="K5001" s="87">
        <v>7.547864980999047</v>
      </c>
    </row>
    <row r="5002" spans="9:11" x14ac:dyDescent="0.25">
      <c r="K5002" s="87"/>
    </row>
    <row r="5003" spans="9:11" x14ac:dyDescent="0.25">
      <c r="K5003" s="87"/>
    </row>
    <row r="5004" spans="9:11" x14ac:dyDescent="0.25">
      <c r="K5004" s="87"/>
    </row>
    <row r="5005" spans="9:11" x14ac:dyDescent="0.25">
      <c r="K5005" s="87"/>
    </row>
    <row r="5006" spans="9:11" x14ac:dyDescent="0.25">
      <c r="K5006" s="87"/>
    </row>
    <row r="5007" spans="9:11" x14ac:dyDescent="0.25">
      <c r="K5007" s="87"/>
    </row>
    <row r="5008" spans="9:11" x14ac:dyDescent="0.25">
      <c r="K5008" s="87"/>
    </row>
    <row r="5009" spans="11:11" x14ac:dyDescent="0.25">
      <c r="K5009" s="87"/>
    </row>
    <row r="5010" spans="11:11" x14ac:dyDescent="0.25">
      <c r="K5010" s="87"/>
    </row>
    <row r="5011" spans="11:11" x14ac:dyDescent="0.25">
      <c r="K5011" s="87"/>
    </row>
    <row r="5012" spans="11:11" x14ac:dyDescent="0.25">
      <c r="K5012" s="87"/>
    </row>
    <row r="5013" spans="11:11" x14ac:dyDescent="0.25">
      <c r="K5013" s="87"/>
    </row>
    <row r="5014" spans="11:11" x14ac:dyDescent="0.25">
      <c r="K5014" s="87"/>
    </row>
    <row r="5015" spans="11:11" x14ac:dyDescent="0.25">
      <c r="K5015" s="87"/>
    </row>
    <row r="5016" spans="11:11" x14ac:dyDescent="0.25">
      <c r="K5016" s="87"/>
    </row>
    <row r="5017" spans="11:11" x14ac:dyDescent="0.25">
      <c r="K5017" s="87"/>
    </row>
    <row r="5018" spans="11:11" x14ac:dyDescent="0.25">
      <c r="K5018" s="87"/>
    </row>
    <row r="5019" spans="11:11" x14ac:dyDescent="0.25">
      <c r="K5019" s="87"/>
    </row>
    <row r="5020" spans="11:11" x14ac:dyDescent="0.25">
      <c r="K5020" s="87"/>
    </row>
    <row r="5021" spans="11:11" x14ac:dyDescent="0.25">
      <c r="K5021" s="87"/>
    </row>
    <row r="5022" spans="11:11" x14ac:dyDescent="0.25">
      <c r="K5022" s="87"/>
    </row>
    <row r="5023" spans="11:11" x14ac:dyDescent="0.25">
      <c r="K5023" s="87"/>
    </row>
    <row r="5024" spans="11:11" x14ac:dyDescent="0.25">
      <c r="K5024" s="87"/>
    </row>
    <row r="5025" spans="11:11" x14ac:dyDescent="0.25">
      <c r="K5025" s="87"/>
    </row>
    <row r="5026" spans="11:11" x14ac:dyDescent="0.25">
      <c r="K5026" s="87"/>
    </row>
    <row r="5027" spans="11:11" x14ac:dyDescent="0.25">
      <c r="K5027" s="87"/>
    </row>
    <row r="5028" spans="11:11" x14ac:dyDescent="0.25">
      <c r="K5028" s="87"/>
    </row>
    <row r="5029" spans="11:11" x14ac:dyDescent="0.25">
      <c r="K5029" s="87"/>
    </row>
    <row r="5030" spans="11:11" x14ac:dyDescent="0.25">
      <c r="K5030" s="87"/>
    </row>
    <row r="5031" spans="11:11" x14ac:dyDescent="0.25">
      <c r="K5031" s="87"/>
    </row>
    <row r="5032" spans="11:11" x14ac:dyDescent="0.25">
      <c r="K5032" s="87"/>
    </row>
    <row r="5033" spans="11:11" x14ac:dyDescent="0.25">
      <c r="K5033" s="87"/>
    </row>
    <row r="5034" spans="11:11" x14ac:dyDescent="0.25">
      <c r="K5034" s="87"/>
    </row>
    <row r="5035" spans="11:11" x14ac:dyDescent="0.25">
      <c r="K5035" s="87"/>
    </row>
    <row r="5036" spans="11:11" x14ac:dyDescent="0.25">
      <c r="K5036" s="87"/>
    </row>
    <row r="5037" spans="11:11" x14ac:dyDescent="0.25">
      <c r="K5037" s="87"/>
    </row>
    <row r="5038" spans="11:11" x14ac:dyDescent="0.25">
      <c r="K5038" s="87"/>
    </row>
    <row r="5039" spans="11:11" x14ac:dyDescent="0.25">
      <c r="K5039" s="87"/>
    </row>
    <row r="5040" spans="11:11" x14ac:dyDescent="0.25">
      <c r="K5040" s="87"/>
    </row>
    <row r="5041" spans="11:11" x14ac:dyDescent="0.25">
      <c r="K5041" s="87"/>
    </row>
    <row r="5042" spans="11:11" x14ac:dyDescent="0.25">
      <c r="K5042" s="87"/>
    </row>
    <row r="5043" spans="11:11" x14ac:dyDescent="0.25">
      <c r="K5043" s="87"/>
    </row>
    <row r="5044" spans="11:11" x14ac:dyDescent="0.25">
      <c r="K5044" s="87"/>
    </row>
    <row r="5045" spans="11:11" x14ac:dyDescent="0.25">
      <c r="K5045" s="87"/>
    </row>
    <row r="5046" spans="11:11" x14ac:dyDescent="0.25">
      <c r="K5046" s="87"/>
    </row>
    <row r="5047" spans="11:11" x14ac:dyDescent="0.25">
      <c r="K5047" s="87"/>
    </row>
    <row r="5048" spans="11:11" x14ac:dyDescent="0.25">
      <c r="K5048" s="87"/>
    </row>
    <row r="5049" spans="11:11" x14ac:dyDescent="0.25">
      <c r="K5049" s="87"/>
    </row>
    <row r="5050" spans="11:11" x14ac:dyDescent="0.25">
      <c r="K5050" s="87"/>
    </row>
    <row r="5051" spans="11:11" x14ac:dyDescent="0.25">
      <c r="K5051" s="87"/>
    </row>
    <row r="5052" spans="11:11" x14ac:dyDescent="0.25">
      <c r="K5052" s="87"/>
    </row>
    <row r="5053" spans="11:11" x14ac:dyDescent="0.25">
      <c r="K5053" s="87"/>
    </row>
    <row r="5054" spans="11:11" x14ac:dyDescent="0.25">
      <c r="K5054" s="87"/>
    </row>
    <row r="5055" spans="11:11" x14ac:dyDescent="0.25">
      <c r="K5055" s="87"/>
    </row>
    <row r="5056" spans="11:11" x14ac:dyDescent="0.25">
      <c r="K5056" s="87"/>
    </row>
    <row r="5057" spans="11:11" x14ac:dyDescent="0.25">
      <c r="K5057" s="87"/>
    </row>
    <row r="5058" spans="11:11" x14ac:dyDescent="0.25">
      <c r="K5058" s="87"/>
    </row>
    <row r="5059" spans="11:11" x14ac:dyDescent="0.25">
      <c r="K5059" s="87"/>
    </row>
    <row r="5060" spans="11:11" x14ac:dyDescent="0.25">
      <c r="K5060" s="87"/>
    </row>
    <row r="5061" spans="11:11" x14ac:dyDescent="0.25">
      <c r="K5061" s="87"/>
    </row>
    <row r="5062" spans="11:11" x14ac:dyDescent="0.25">
      <c r="K5062" s="87"/>
    </row>
    <row r="5063" spans="11:11" x14ac:dyDescent="0.25">
      <c r="K5063" s="87"/>
    </row>
    <row r="5064" spans="11:11" x14ac:dyDescent="0.25">
      <c r="K5064" s="87"/>
    </row>
    <row r="5065" spans="11:11" x14ac:dyDescent="0.25">
      <c r="K5065" s="87"/>
    </row>
    <row r="5066" spans="11:11" x14ac:dyDescent="0.25">
      <c r="K5066" s="87"/>
    </row>
    <row r="5067" spans="11:11" x14ac:dyDescent="0.25">
      <c r="K5067" s="87"/>
    </row>
    <row r="5068" spans="11:11" x14ac:dyDescent="0.25">
      <c r="K5068" s="87"/>
    </row>
    <row r="5069" spans="11:11" x14ac:dyDescent="0.25">
      <c r="K5069" s="87"/>
    </row>
    <row r="5070" spans="11:11" x14ac:dyDescent="0.25">
      <c r="K5070" s="87"/>
    </row>
    <row r="5071" spans="11:11" x14ac:dyDescent="0.25">
      <c r="K5071" s="87"/>
    </row>
    <row r="5072" spans="11:11" x14ac:dyDescent="0.25">
      <c r="K5072" s="87"/>
    </row>
    <row r="5073" spans="11:11" x14ac:dyDescent="0.25">
      <c r="K5073" s="87"/>
    </row>
    <row r="5074" spans="11:11" x14ac:dyDescent="0.25">
      <c r="K5074" s="87"/>
    </row>
    <row r="5075" spans="11:11" x14ac:dyDescent="0.25">
      <c r="K5075" s="87"/>
    </row>
    <row r="5076" spans="11:11" x14ac:dyDescent="0.25">
      <c r="K5076" s="87"/>
    </row>
    <row r="5077" spans="11:11" x14ac:dyDescent="0.25">
      <c r="K5077" s="87"/>
    </row>
    <row r="5078" spans="11:11" x14ac:dyDescent="0.25">
      <c r="K5078" s="87"/>
    </row>
    <row r="5079" spans="11:11" x14ac:dyDescent="0.25">
      <c r="K5079" s="87"/>
    </row>
    <row r="5080" spans="11:11" x14ac:dyDescent="0.25">
      <c r="K5080" s="87"/>
    </row>
    <row r="5081" spans="11:11" x14ac:dyDescent="0.25">
      <c r="K5081" s="87"/>
    </row>
    <row r="5082" spans="11:11" x14ac:dyDescent="0.25">
      <c r="K5082" s="87"/>
    </row>
    <row r="5083" spans="11:11" x14ac:dyDescent="0.25">
      <c r="K5083" s="87"/>
    </row>
    <row r="5084" spans="11:11" x14ac:dyDescent="0.25">
      <c r="K5084" s="87"/>
    </row>
    <row r="5085" spans="11:11" x14ac:dyDescent="0.25">
      <c r="K5085" s="87"/>
    </row>
    <row r="5086" spans="11:11" x14ac:dyDescent="0.25">
      <c r="K5086" s="87"/>
    </row>
    <row r="5087" spans="11:11" x14ac:dyDescent="0.25">
      <c r="K5087" s="87"/>
    </row>
    <row r="5088" spans="11:11" x14ac:dyDescent="0.25">
      <c r="K5088" s="87"/>
    </row>
    <row r="5089" spans="11:11" x14ac:dyDescent="0.25">
      <c r="K5089" s="87"/>
    </row>
    <row r="5090" spans="11:11" x14ac:dyDescent="0.25">
      <c r="K5090" s="87"/>
    </row>
    <row r="5091" spans="11:11" x14ac:dyDescent="0.25">
      <c r="K5091" s="87"/>
    </row>
    <row r="5092" spans="11:11" x14ac:dyDescent="0.25">
      <c r="K5092" s="87"/>
    </row>
    <row r="5093" spans="11:11" x14ac:dyDescent="0.25">
      <c r="K5093" s="87"/>
    </row>
    <row r="5094" spans="11:11" x14ac:dyDescent="0.25">
      <c r="K5094" s="87"/>
    </row>
    <row r="5095" spans="11:11" x14ac:dyDescent="0.25">
      <c r="K5095" s="87"/>
    </row>
    <row r="5096" spans="11:11" x14ac:dyDescent="0.25">
      <c r="K5096" s="87"/>
    </row>
    <row r="5097" spans="11:11" x14ac:dyDescent="0.25">
      <c r="K5097" s="87"/>
    </row>
    <row r="5098" spans="11:11" x14ac:dyDescent="0.25">
      <c r="K5098" s="87"/>
    </row>
    <row r="5099" spans="11:11" x14ac:dyDescent="0.25">
      <c r="K5099" s="87"/>
    </row>
    <row r="5100" spans="11:11" x14ac:dyDescent="0.25">
      <c r="K5100" s="87"/>
    </row>
    <row r="5101" spans="11:11" x14ac:dyDescent="0.25">
      <c r="K5101" s="87"/>
    </row>
    <row r="5102" spans="11:11" x14ac:dyDescent="0.25">
      <c r="K5102" s="87"/>
    </row>
    <row r="5103" spans="11:11" x14ac:dyDescent="0.25">
      <c r="K5103" s="87"/>
    </row>
    <row r="5104" spans="11:11" x14ac:dyDescent="0.25">
      <c r="K5104" s="87"/>
    </row>
    <row r="5105" spans="11:11" x14ac:dyDescent="0.25">
      <c r="K5105" s="87"/>
    </row>
    <row r="5106" spans="11:11" x14ac:dyDescent="0.25">
      <c r="K5106" s="87"/>
    </row>
    <row r="5107" spans="11:11" x14ac:dyDescent="0.25">
      <c r="K5107" s="87"/>
    </row>
    <row r="5108" spans="11:11" x14ac:dyDescent="0.25">
      <c r="K5108" s="87"/>
    </row>
    <row r="5109" spans="11:11" x14ac:dyDescent="0.25">
      <c r="K5109" s="87"/>
    </row>
    <row r="5110" spans="11:11" x14ac:dyDescent="0.25">
      <c r="K5110" s="87"/>
    </row>
    <row r="5111" spans="11:11" x14ac:dyDescent="0.25">
      <c r="K5111" s="87"/>
    </row>
    <row r="5112" spans="11:11" x14ac:dyDescent="0.25">
      <c r="K5112" s="87"/>
    </row>
    <row r="5113" spans="11:11" x14ac:dyDescent="0.25">
      <c r="K5113" s="87"/>
    </row>
    <row r="5114" spans="11:11" x14ac:dyDescent="0.25">
      <c r="K5114" s="87"/>
    </row>
    <row r="5115" spans="11:11" x14ac:dyDescent="0.25">
      <c r="K5115" s="87"/>
    </row>
    <row r="5116" spans="11:11" x14ac:dyDescent="0.25">
      <c r="K5116" s="87"/>
    </row>
    <row r="5117" spans="11:11" x14ac:dyDescent="0.25">
      <c r="K5117" s="87"/>
    </row>
    <row r="5118" spans="11:11" x14ac:dyDescent="0.25">
      <c r="K5118" s="87"/>
    </row>
    <row r="5119" spans="11:11" x14ac:dyDescent="0.25">
      <c r="K5119" s="87"/>
    </row>
    <row r="5120" spans="11:11" x14ac:dyDescent="0.25">
      <c r="K5120" s="87"/>
    </row>
    <row r="5121" spans="11:11" x14ac:dyDescent="0.25">
      <c r="K5121" s="87"/>
    </row>
    <row r="5122" spans="11:11" x14ac:dyDescent="0.25">
      <c r="K5122" s="87"/>
    </row>
    <row r="5123" spans="11:11" x14ac:dyDescent="0.25">
      <c r="K5123" s="87"/>
    </row>
    <row r="5124" spans="11:11" x14ac:dyDescent="0.25">
      <c r="K5124" s="87"/>
    </row>
    <row r="5125" spans="11:11" x14ac:dyDescent="0.25">
      <c r="K5125" s="87"/>
    </row>
    <row r="5126" spans="11:11" x14ac:dyDescent="0.25">
      <c r="K5126" s="87"/>
    </row>
    <row r="5127" spans="11:11" x14ac:dyDescent="0.25">
      <c r="K5127" s="87"/>
    </row>
    <row r="5128" spans="11:11" x14ac:dyDescent="0.25">
      <c r="K5128" s="87"/>
    </row>
    <row r="5129" spans="11:11" x14ac:dyDescent="0.25">
      <c r="K5129" s="87"/>
    </row>
    <row r="5130" spans="11:11" x14ac:dyDescent="0.25">
      <c r="K5130" s="87"/>
    </row>
    <row r="5131" spans="11:11" x14ac:dyDescent="0.25">
      <c r="K5131" s="87"/>
    </row>
    <row r="5132" spans="11:11" x14ac:dyDescent="0.25">
      <c r="K5132" s="87"/>
    </row>
    <row r="5133" spans="11:11" x14ac:dyDescent="0.25">
      <c r="K5133" s="87"/>
    </row>
    <row r="5134" spans="11:11" x14ac:dyDescent="0.25">
      <c r="K5134" s="87"/>
    </row>
    <row r="5135" spans="11:11" x14ac:dyDescent="0.25">
      <c r="K5135" s="87"/>
    </row>
    <row r="5136" spans="11:11" x14ac:dyDescent="0.25">
      <c r="K5136" s="87"/>
    </row>
    <row r="5137" spans="11:11" x14ac:dyDescent="0.25">
      <c r="K5137" s="87"/>
    </row>
    <row r="5138" spans="11:11" x14ac:dyDescent="0.25">
      <c r="K5138" s="87"/>
    </row>
    <row r="5139" spans="11:11" x14ac:dyDescent="0.25">
      <c r="K5139" s="87"/>
    </row>
    <row r="5140" spans="11:11" x14ac:dyDescent="0.25">
      <c r="K5140" s="87"/>
    </row>
    <row r="5141" spans="11:11" x14ac:dyDescent="0.25">
      <c r="K5141" s="87"/>
    </row>
    <row r="5142" spans="11:11" x14ac:dyDescent="0.25">
      <c r="K5142" s="87"/>
    </row>
    <row r="5143" spans="11:11" x14ac:dyDescent="0.25">
      <c r="K5143" s="87"/>
    </row>
    <row r="5144" spans="11:11" x14ac:dyDescent="0.25">
      <c r="K5144" s="87"/>
    </row>
    <row r="5145" spans="11:11" x14ac:dyDescent="0.25">
      <c r="K5145" s="87"/>
    </row>
    <row r="5146" spans="11:11" x14ac:dyDescent="0.25">
      <c r="K5146" s="87"/>
    </row>
    <row r="5147" spans="11:11" x14ac:dyDescent="0.25">
      <c r="K5147" s="87"/>
    </row>
    <row r="5148" spans="11:11" x14ac:dyDescent="0.25">
      <c r="K5148" s="87"/>
    </row>
    <row r="5149" spans="11:11" x14ac:dyDescent="0.25">
      <c r="K5149" s="87"/>
    </row>
    <row r="5150" spans="11:11" x14ac:dyDescent="0.25">
      <c r="K5150" s="87"/>
    </row>
    <row r="5151" spans="11:11" x14ac:dyDescent="0.25">
      <c r="K5151" s="87"/>
    </row>
    <row r="5152" spans="11:11" x14ac:dyDescent="0.25">
      <c r="K5152" s="87"/>
    </row>
    <row r="5153" spans="11:11" x14ac:dyDescent="0.25">
      <c r="K5153" s="87"/>
    </row>
    <row r="5154" spans="11:11" x14ac:dyDescent="0.25">
      <c r="K5154" s="87"/>
    </row>
    <row r="5155" spans="11:11" x14ac:dyDescent="0.25">
      <c r="K5155" s="87"/>
    </row>
    <row r="5156" spans="11:11" x14ac:dyDescent="0.25">
      <c r="K5156" s="87"/>
    </row>
    <row r="5157" spans="11:11" x14ac:dyDescent="0.25">
      <c r="K5157" s="87"/>
    </row>
    <row r="5158" spans="11:11" x14ac:dyDescent="0.25">
      <c r="K5158" s="87"/>
    </row>
    <row r="5159" spans="11:11" x14ac:dyDescent="0.25">
      <c r="K5159" s="87"/>
    </row>
    <row r="5160" spans="11:11" x14ac:dyDescent="0.25">
      <c r="K5160" s="87"/>
    </row>
    <row r="5161" spans="11:11" x14ac:dyDescent="0.25">
      <c r="K5161" s="87"/>
    </row>
    <row r="5162" spans="11:11" x14ac:dyDescent="0.25">
      <c r="K5162" s="87"/>
    </row>
    <row r="5163" spans="11:11" x14ac:dyDescent="0.25">
      <c r="K5163" s="87"/>
    </row>
    <row r="5164" spans="11:11" x14ac:dyDescent="0.25">
      <c r="K5164" s="87"/>
    </row>
    <row r="5165" spans="11:11" x14ac:dyDescent="0.25">
      <c r="K5165" s="87"/>
    </row>
    <row r="5166" spans="11:11" x14ac:dyDescent="0.25">
      <c r="K5166" s="87"/>
    </row>
    <row r="5167" spans="11:11" x14ac:dyDescent="0.25">
      <c r="K5167" s="87"/>
    </row>
    <row r="5168" spans="11:11" x14ac:dyDescent="0.25">
      <c r="K5168" s="87"/>
    </row>
    <row r="5169" spans="11:11" x14ac:dyDescent="0.25">
      <c r="K5169" s="87"/>
    </row>
    <row r="5170" spans="11:11" x14ac:dyDescent="0.25">
      <c r="K5170" s="87"/>
    </row>
    <row r="5171" spans="11:11" x14ac:dyDescent="0.25">
      <c r="K5171" s="87"/>
    </row>
    <row r="5172" spans="11:11" x14ac:dyDescent="0.25">
      <c r="K5172" s="87"/>
    </row>
    <row r="5173" spans="11:11" x14ac:dyDescent="0.25">
      <c r="K5173" s="87"/>
    </row>
    <row r="5174" spans="11:11" x14ac:dyDescent="0.25">
      <c r="K5174" s="87"/>
    </row>
    <row r="5175" spans="11:11" x14ac:dyDescent="0.25">
      <c r="K5175" s="87"/>
    </row>
    <row r="5176" spans="11:11" x14ac:dyDescent="0.25">
      <c r="K5176" s="87"/>
    </row>
    <row r="5177" spans="11:11" x14ac:dyDescent="0.25">
      <c r="K5177" s="87"/>
    </row>
    <row r="5178" spans="11:11" x14ac:dyDescent="0.25">
      <c r="K5178" s="87"/>
    </row>
    <row r="5179" spans="11:11" x14ac:dyDescent="0.25">
      <c r="K5179" s="87"/>
    </row>
    <row r="5180" spans="11:11" x14ac:dyDescent="0.25">
      <c r="K5180" s="87"/>
    </row>
    <row r="5181" spans="11:11" x14ac:dyDescent="0.25">
      <c r="K5181" s="87"/>
    </row>
    <row r="5182" spans="11:11" x14ac:dyDescent="0.25">
      <c r="K5182" s="87"/>
    </row>
    <row r="5183" spans="11:11" x14ac:dyDescent="0.25">
      <c r="K5183" s="87"/>
    </row>
    <row r="5184" spans="11:11" x14ac:dyDescent="0.25">
      <c r="K5184" s="87"/>
    </row>
    <row r="5185" spans="11:11" x14ac:dyDescent="0.25">
      <c r="K5185" s="87"/>
    </row>
    <row r="5186" spans="11:11" x14ac:dyDescent="0.25">
      <c r="K5186" s="87"/>
    </row>
    <row r="5187" spans="11:11" x14ac:dyDescent="0.25">
      <c r="K5187" s="87"/>
    </row>
    <row r="5188" spans="11:11" x14ac:dyDescent="0.25">
      <c r="K5188" s="87"/>
    </row>
    <row r="5189" spans="11:11" x14ac:dyDescent="0.25">
      <c r="K5189" s="87"/>
    </row>
    <row r="5190" spans="11:11" x14ac:dyDescent="0.25">
      <c r="K5190" s="87"/>
    </row>
    <row r="5191" spans="11:11" x14ac:dyDescent="0.25">
      <c r="K5191" s="87"/>
    </row>
    <row r="5192" spans="11:11" x14ac:dyDescent="0.25">
      <c r="K5192" s="87"/>
    </row>
    <row r="5193" spans="11:11" x14ac:dyDescent="0.25">
      <c r="K5193" s="87"/>
    </row>
    <row r="5194" spans="11:11" x14ac:dyDescent="0.25">
      <c r="K5194" s="87"/>
    </row>
    <row r="5195" spans="11:11" x14ac:dyDescent="0.25">
      <c r="K5195" s="87"/>
    </row>
    <row r="5196" spans="11:11" x14ac:dyDescent="0.25">
      <c r="K5196" s="87"/>
    </row>
    <row r="5197" spans="11:11" x14ac:dyDescent="0.25">
      <c r="K5197" s="87"/>
    </row>
    <row r="5198" spans="11:11" x14ac:dyDescent="0.25">
      <c r="K5198" s="87"/>
    </row>
    <row r="5199" spans="11:11" x14ac:dyDescent="0.25">
      <c r="K5199" s="87"/>
    </row>
    <row r="5200" spans="11:11" x14ac:dyDescent="0.25">
      <c r="K5200" s="87"/>
    </row>
    <row r="5201" spans="11:11" x14ac:dyDescent="0.25">
      <c r="K5201" s="87"/>
    </row>
    <row r="5202" spans="11:11" x14ac:dyDescent="0.25">
      <c r="K5202" s="87"/>
    </row>
    <row r="5203" spans="11:11" x14ac:dyDescent="0.25">
      <c r="K5203" s="87"/>
    </row>
    <row r="5204" spans="11:11" x14ac:dyDescent="0.25">
      <c r="K5204" s="87"/>
    </row>
    <row r="5205" spans="11:11" x14ac:dyDescent="0.25">
      <c r="K5205" s="87"/>
    </row>
    <row r="5206" spans="11:11" x14ac:dyDescent="0.25">
      <c r="K5206" s="87"/>
    </row>
    <row r="5207" spans="11:11" x14ac:dyDescent="0.25">
      <c r="K5207" s="87"/>
    </row>
    <row r="5208" spans="11:11" x14ac:dyDescent="0.25">
      <c r="K5208" s="87"/>
    </row>
    <row r="5209" spans="11:11" x14ac:dyDescent="0.25">
      <c r="K5209" s="87"/>
    </row>
    <row r="5210" spans="11:11" x14ac:dyDescent="0.25">
      <c r="K5210" s="87"/>
    </row>
    <row r="5211" spans="11:11" x14ac:dyDescent="0.25">
      <c r="K5211" s="87"/>
    </row>
    <row r="5212" spans="11:11" x14ac:dyDescent="0.25">
      <c r="K5212" s="87"/>
    </row>
    <row r="5213" spans="11:11" x14ac:dyDescent="0.25">
      <c r="K5213" s="87"/>
    </row>
    <row r="5214" spans="11:11" x14ac:dyDescent="0.25">
      <c r="K5214" s="87"/>
    </row>
    <row r="5215" spans="11:11" x14ac:dyDescent="0.25">
      <c r="K5215" s="87"/>
    </row>
    <row r="5216" spans="11:11" x14ac:dyDescent="0.25">
      <c r="K5216" s="87"/>
    </row>
    <row r="5217" spans="11:11" x14ac:dyDescent="0.25">
      <c r="K5217" s="87"/>
    </row>
    <row r="5218" spans="11:11" x14ac:dyDescent="0.25">
      <c r="K5218" s="87"/>
    </row>
    <row r="5219" spans="11:11" x14ac:dyDescent="0.25">
      <c r="K5219" s="87"/>
    </row>
    <row r="5220" spans="11:11" x14ac:dyDescent="0.25">
      <c r="K5220" s="87"/>
    </row>
    <row r="5221" spans="11:11" x14ac:dyDescent="0.25">
      <c r="K5221" s="87"/>
    </row>
    <row r="5222" spans="11:11" x14ac:dyDescent="0.25">
      <c r="K5222" s="87"/>
    </row>
    <row r="5223" spans="11:11" x14ac:dyDescent="0.25">
      <c r="K5223" s="87"/>
    </row>
    <row r="5224" spans="11:11" x14ac:dyDescent="0.25">
      <c r="K5224" s="87"/>
    </row>
    <row r="5225" spans="11:11" x14ac:dyDescent="0.25">
      <c r="K5225" s="87"/>
    </row>
    <row r="5226" spans="11:11" x14ac:dyDescent="0.25">
      <c r="K5226" s="87"/>
    </row>
    <row r="5227" spans="11:11" x14ac:dyDescent="0.25">
      <c r="K5227" s="87"/>
    </row>
    <row r="5228" spans="11:11" x14ac:dyDescent="0.25">
      <c r="K5228" s="87"/>
    </row>
    <row r="5229" spans="11:11" x14ac:dyDescent="0.25">
      <c r="K5229" s="87"/>
    </row>
    <row r="5230" spans="11:11" x14ac:dyDescent="0.25">
      <c r="K5230" s="87"/>
    </row>
    <row r="5231" spans="11:11" x14ac:dyDescent="0.25">
      <c r="K5231" s="87"/>
    </row>
    <row r="5232" spans="11:11" x14ac:dyDescent="0.25">
      <c r="K5232" s="87"/>
    </row>
    <row r="5233" spans="11:11" x14ac:dyDescent="0.25">
      <c r="K5233" s="87"/>
    </row>
    <row r="5234" spans="11:11" x14ac:dyDescent="0.25">
      <c r="K5234" s="87"/>
    </row>
    <row r="5235" spans="11:11" x14ac:dyDescent="0.25">
      <c r="K5235" s="87"/>
    </row>
    <row r="5236" spans="11:11" x14ac:dyDescent="0.25">
      <c r="K5236" s="87"/>
    </row>
    <row r="5237" spans="11:11" x14ac:dyDescent="0.25">
      <c r="K5237" s="87"/>
    </row>
    <row r="5238" spans="11:11" x14ac:dyDescent="0.25">
      <c r="K5238" s="87"/>
    </row>
    <row r="5239" spans="11:11" x14ac:dyDescent="0.25">
      <c r="K5239" s="87"/>
    </row>
    <row r="5240" spans="11:11" x14ac:dyDescent="0.25">
      <c r="K5240" s="87"/>
    </row>
    <row r="5241" spans="11:11" x14ac:dyDescent="0.25">
      <c r="K5241" s="87"/>
    </row>
    <row r="5242" spans="11:11" x14ac:dyDescent="0.25">
      <c r="K5242" s="87"/>
    </row>
    <row r="5243" spans="11:11" x14ac:dyDescent="0.25">
      <c r="K5243" s="87"/>
    </row>
    <row r="5244" spans="11:11" x14ac:dyDescent="0.25">
      <c r="K5244" s="87"/>
    </row>
    <row r="5245" spans="11:11" x14ac:dyDescent="0.25">
      <c r="K5245" s="87"/>
    </row>
    <row r="5246" spans="11:11" x14ac:dyDescent="0.25">
      <c r="K5246" s="87"/>
    </row>
    <row r="5247" spans="11:11" x14ac:dyDescent="0.25">
      <c r="K5247" s="87"/>
    </row>
    <row r="5248" spans="11:11" x14ac:dyDescent="0.25">
      <c r="K5248" s="87"/>
    </row>
    <row r="5249" spans="11:11" x14ac:dyDescent="0.25">
      <c r="K5249" s="87"/>
    </row>
    <row r="5250" spans="11:11" x14ac:dyDescent="0.25">
      <c r="K5250" s="87"/>
    </row>
    <row r="5251" spans="11:11" x14ac:dyDescent="0.25">
      <c r="K5251" s="87"/>
    </row>
    <row r="5252" spans="11:11" x14ac:dyDescent="0.25">
      <c r="K5252" s="87"/>
    </row>
    <row r="5253" spans="11:11" x14ac:dyDescent="0.25">
      <c r="K5253" s="87"/>
    </row>
    <row r="5254" spans="11:11" x14ac:dyDescent="0.25">
      <c r="K5254" s="87"/>
    </row>
    <row r="5255" spans="11:11" x14ac:dyDescent="0.25">
      <c r="K5255" s="87"/>
    </row>
    <row r="5256" spans="11:11" x14ac:dyDescent="0.25">
      <c r="K5256" s="87"/>
    </row>
    <row r="5257" spans="11:11" x14ac:dyDescent="0.25">
      <c r="K5257" s="87"/>
    </row>
    <row r="5258" spans="11:11" x14ac:dyDescent="0.25">
      <c r="K5258" s="87"/>
    </row>
    <row r="5259" spans="11:11" x14ac:dyDescent="0.25">
      <c r="K5259" s="87"/>
    </row>
    <row r="5260" spans="11:11" x14ac:dyDescent="0.25">
      <c r="K5260" s="87"/>
    </row>
    <row r="5261" spans="11:11" x14ac:dyDescent="0.25">
      <c r="K5261" s="87"/>
    </row>
    <row r="5262" spans="11:11" x14ac:dyDescent="0.25">
      <c r="K5262" s="87"/>
    </row>
    <row r="5263" spans="11:11" x14ac:dyDescent="0.25">
      <c r="K5263" s="87"/>
    </row>
    <row r="5264" spans="11:11" x14ac:dyDescent="0.25">
      <c r="K5264" s="87"/>
    </row>
    <row r="5265" spans="11:11" x14ac:dyDescent="0.25">
      <c r="K5265" s="87"/>
    </row>
    <row r="5266" spans="11:11" x14ac:dyDescent="0.25">
      <c r="K5266" s="87"/>
    </row>
    <row r="5267" spans="11:11" x14ac:dyDescent="0.25">
      <c r="K5267" s="87"/>
    </row>
    <row r="5268" spans="11:11" x14ac:dyDescent="0.25">
      <c r="K5268" s="87"/>
    </row>
    <row r="5269" spans="11:11" x14ac:dyDescent="0.25">
      <c r="K5269" s="87"/>
    </row>
    <row r="5270" spans="11:11" x14ac:dyDescent="0.25">
      <c r="K5270" s="87"/>
    </row>
    <row r="5271" spans="11:11" x14ac:dyDescent="0.25">
      <c r="K5271" s="87"/>
    </row>
    <row r="5272" spans="11:11" x14ac:dyDescent="0.25">
      <c r="K5272" s="87"/>
    </row>
    <row r="5273" spans="11:11" x14ac:dyDescent="0.25">
      <c r="K5273" s="87"/>
    </row>
    <row r="5274" spans="11:11" x14ac:dyDescent="0.25">
      <c r="K5274" s="87"/>
    </row>
    <row r="5275" spans="11:11" x14ac:dyDescent="0.25">
      <c r="K5275" s="87"/>
    </row>
    <row r="5276" spans="11:11" x14ac:dyDescent="0.25">
      <c r="K5276" s="87"/>
    </row>
    <row r="5277" spans="11:11" x14ac:dyDescent="0.25">
      <c r="K5277" s="87"/>
    </row>
    <row r="5278" spans="11:11" x14ac:dyDescent="0.25">
      <c r="K5278" s="87"/>
    </row>
    <row r="5279" spans="11:11" x14ac:dyDescent="0.25">
      <c r="K5279" s="87"/>
    </row>
    <row r="5280" spans="11:11" x14ac:dyDescent="0.25">
      <c r="K5280" s="87"/>
    </row>
    <row r="5281" spans="11:11" x14ac:dyDescent="0.25">
      <c r="K5281" s="87"/>
    </row>
    <row r="5282" spans="11:11" x14ac:dyDescent="0.25">
      <c r="K5282" s="87"/>
    </row>
    <row r="5283" spans="11:11" x14ac:dyDescent="0.25">
      <c r="K5283" s="87"/>
    </row>
    <row r="5284" spans="11:11" x14ac:dyDescent="0.25">
      <c r="K5284" s="87"/>
    </row>
    <row r="5285" spans="11:11" x14ac:dyDescent="0.25">
      <c r="K5285" s="87"/>
    </row>
    <row r="5286" spans="11:11" x14ac:dyDescent="0.25">
      <c r="K5286" s="87"/>
    </row>
    <row r="5287" spans="11:11" x14ac:dyDescent="0.25">
      <c r="K5287" s="87"/>
    </row>
    <row r="5288" spans="11:11" x14ac:dyDescent="0.25">
      <c r="K5288" s="87"/>
    </row>
    <row r="5289" spans="11:11" x14ac:dyDescent="0.25">
      <c r="K5289" s="87"/>
    </row>
    <row r="5290" spans="11:11" x14ac:dyDescent="0.25">
      <c r="K5290" s="87"/>
    </row>
    <row r="5291" spans="11:11" x14ac:dyDescent="0.25">
      <c r="K5291" s="87"/>
    </row>
    <row r="5292" spans="11:11" x14ac:dyDescent="0.25">
      <c r="K5292" s="87"/>
    </row>
    <row r="5293" spans="11:11" x14ac:dyDescent="0.25">
      <c r="K5293" s="87"/>
    </row>
    <row r="5294" spans="11:11" x14ac:dyDescent="0.25">
      <c r="K5294" s="87"/>
    </row>
    <row r="5295" spans="11:11" x14ac:dyDescent="0.25">
      <c r="K5295" s="87"/>
    </row>
    <row r="5296" spans="11:11" x14ac:dyDescent="0.25">
      <c r="K5296" s="87"/>
    </row>
    <row r="5297" spans="11:11" x14ac:dyDescent="0.25">
      <c r="K5297" s="87"/>
    </row>
    <row r="5298" spans="11:11" x14ac:dyDescent="0.25">
      <c r="K5298" s="87"/>
    </row>
    <row r="5299" spans="11:11" x14ac:dyDescent="0.25">
      <c r="K5299" s="87"/>
    </row>
    <row r="5300" spans="11:11" x14ac:dyDescent="0.25">
      <c r="K5300" s="87"/>
    </row>
    <row r="5301" spans="11:11" x14ac:dyDescent="0.25">
      <c r="K5301" s="87"/>
    </row>
    <row r="5302" spans="11:11" x14ac:dyDescent="0.25">
      <c r="K5302" s="87"/>
    </row>
    <row r="5303" spans="11:11" x14ac:dyDescent="0.25">
      <c r="K5303" s="87"/>
    </row>
    <row r="5304" spans="11:11" x14ac:dyDescent="0.25">
      <c r="K5304" s="87"/>
    </row>
    <row r="5305" spans="11:11" x14ac:dyDescent="0.25">
      <c r="K5305" s="87"/>
    </row>
    <row r="5306" spans="11:11" x14ac:dyDescent="0.25">
      <c r="K5306" s="87"/>
    </row>
    <row r="5307" spans="11:11" x14ac:dyDescent="0.25">
      <c r="K5307" s="87"/>
    </row>
    <row r="5308" spans="11:11" x14ac:dyDescent="0.25">
      <c r="K5308" s="87"/>
    </row>
    <row r="5309" spans="11:11" x14ac:dyDescent="0.25">
      <c r="K5309" s="87"/>
    </row>
    <row r="5310" spans="11:11" x14ac:dyDescent="0.25">
      <c r="K5310" s="87"/>
    </row>
    <row r="5311" spans="11:11" x14ac:dyDescent="0.25">
      <c r="K5311" s="87"/>
    </row>
    <row r="5312" spans="11:11" x14ac:dyDescent="0.25">
      <c r="K5312" s="87"/>
    </row>
    <row r="5313" spans="11:11" x14ac:dyDescent="0.25">
      <c r="K5313" s="87"/>
    </row>
    <row r="5314" spans="11:11" x14ac:dyDescent="0.25">
      <c r="K5314" s="87"/>
    </row>
    <row r="5315" spans="11:11" x14ac:dyDescent="0.25">
      <c r="K5315" s="87"/>
    </row>
    <row r="5316" spans="11:11" x14ac:dyDescent="0.25">
      <c r="K5316" s="87"/>
    </row>
    <row r="5317" spans="11:11" x14ac:dyDescent="0.25">
      <c r="K5317" s="87"/>
    </row>
    <row r="5318" spans="11:11" x14ac:dyDescent="0.25">
      <c r="K5318" s="87"/>
    </row>
    <row r="5319" spans="11:11" x14ac:dyDescent="0.25">
      <c r="K5319" s="87"/>
    </row>
    <row r="5320" spans="11:11" x14ac:dyDescent="0.25">
      <c r="K5320" s="87"/>
    </row>
    <row r="5321" spans="11:11" x14ac:dyDescent="0.25">
      <c r="K5321" s="87"/>
    </row>
    <row r="5322" spans="11:11" x14ac:dyDescent="0.25">
      <c r="K5322" s="87"/>
    </row>
    <row r="5323" spans="11:11" x14ac:dyDescent="0.25">
      <c r="K5323" s="87"/>
    </row>
    <row r="5324" spans="11:11" x14ac:dyDescent="0.25">
      <c r="K5324" s="87"/>
    </row>
    <row r="5325" spans="11:11" x14ac:dyDescent="0.25">
      <c r="K5325" s="87"/>
    </row>
    <row r="5326" spans="11:11" x14ac:dyDescent="0.25">
      <c r="K5326" s="87"/>
    </row>
    <row r="5327" spans="11:11" x14ac:dyDescent="0.25">
      <c r="K5327" s="87"/>
    </row>
    <row r="5328" spans="11:11" x14ac:dyDescent="0.25">
      <c r="K5328" s="87"/>
    </row>
    <row r="5329" spans="11:11" x14ac:dyDescent="0.25">
      <c r="K5329" s="87"/>
    </row>
    <row r="5330" spans="11:11" x14ac:dyDescent="0.25">
      <c r="K5330" s="87"/>
    </row>
    <row r="5331" spans="11:11" x14ac:dyDescent="0.25">
      <c r="K5331" s="87"/>
    </row>
    <row r="5332" spans="11:11" x14ac:dyDescent="0.25">
      <c r="K5332" s="87"/>
    </row>
    <row r="5333" spans="11:11" x14ac:dyDescent="0.25">
      <c r="K5333" s="87"/>
    </row>
    <row r="5334" spans="11:11" x14ac:dyDescent="0.25">
      <c r="K5334" s="87"/>
    </row>
    <row r="5335" spans="11:11" x14ac:dyDescent="0.25">
      <c r="K5335" s="87"/>
    </row>
    <row r="5336" spans="11:11" x14ac:dyDescent="0.25">
      <c r="K5336" s="87"/>
    </row>
    <row r="5337" spans="11:11" x14ac:dyDescent="0.25">
      <c r="K5337" s="87"/>
    </row>
    <row r="5338" spans="11:11" x14ac:dyDescent="0.25">
      <c r="K5338" s="87"/>
    </row>
    <row r="5339" spans="11:11" x14ac:dyDescent="0.25">
      <c r="K5339" s="87"/>
    </row>
    <row r="5340" spans="11:11" x14ac:dyDescent="0.25">
      <c r="K5340" s="87"/>
    </row>
    <row r="5341" spans="11:11" x14ac:dyDescent="0.25">
      <c r="K5341" s="87"/>
    </row>
    <row r="5342" spans="11:11" x14ac:dyDescent="0.25">
      <c r="K5342" s="87"/>
    </row>
    <row r="5343" spans="11:11" x14ac:dyDescent="0.25">
      <c r="K5343" s="87"/>
    </row>
    <row r="5344" spans="11:11" x14ac:dyDescent="0.25">
      <c r="K5344" s="87"/>
    </row>
    <row r="5345" spans="11:11" x14ac:dyDescent="0.25">
      <c r="K5345" s="87"/>
    </row>
    <row r="5346" spans="11:11" x14ac:dyDescent="0.25">
      <c r="K5346" s="87"/>
    </row>
    <row r="5347" spans="11:11" x14ac:dyDescent="0.25">
      <c r="K5347" s="87"/>
    </row>
    <row r="5348" spans="11:11" x14ac:dyDescent="0.25">
      <c r="K5348" s="87"/>
    </row>
    <row r="5349" spans="11:11" x14ac:dyDescent="0.25">
      <c r="K5349" s="87"/>
    </row>
    <row r="5350" spans="11:11" x14ac:dyDescent="0.25">
      <c r="K5350" s="87"/>
    </row>
    <row r="5351" spans="11:11" x14ac:dyDescent="0.25">
      <c r="K5351" s="87"/>
    </row>
    <row r="5352" spans="11:11" x14ac:dyDescent="0.25">
      <c r="K5352" s="87"/>
    </row>
    <row r="5353" spans="11:11" x14ac:dyDescent="0.25">
      <c r="K5353" s="87"/>
    </row>
    <row r="5354" spans="11:11" x14ac:dyDescent="0.25">
      <c r="K5354" s="87"/>
    </row>
    <row r="5355" spans="11:11" x14ac:dyDescent="0.25">
      <c r="K5355" s="87"/>
    </row>
    <row r="5356" spans="11:11" x14ac:dyDescent="0.25">
      <c r="K5356" s="87"/>
    </row>
    <row r="5357" spans="11:11" x14ac:dyDescent="0.25">
      <c r="K5357" s="87"/>
    </row>
    <row r="5358" spans="11:11" x14ac:dyDescent="0.25">
      <c r="K5358" s="87"/>
    </row>
    <row r="5359" spans="11:11" x14ac:dyDescent="0.25">
      <c r="K5359" s="87"/>
    </row>
    <row r="5360" spans="11:11" x14ac:dyDescent="0.25">
      <c r="K5360" s="87"/>
    </row>
    <row r="5361" spans="11:11" x14ac:dyDescent="0.25">
      <c r="K5361" s="87"/>
    </row>
    <row r="5362" spans="11:11" x14ac:dyDescent="0.25">
      <c r="K5362" s="87"/>
    </row>
    <row r="5363" spans="11:11" x14ac:dyDescent="0.25">
      <c r="K5363" s="87"/>
    </row>
    <row r="5364" spans="11:11" x14ac:dyDescent="0.25">
      <c r="K5364" s="87"/>
    </row>
    <row r="5365" spans="11:11" x14ac:dyDescent="0.25">
      <c r="K5365" s="87"/>
    </row>
    <row r="5366" spans="11:11" x14ac:dyDescent="0.25">
      <c r="K5366" s="87"/>
    </row>
    <row r="5367" spans="11:11" x14ac:dyDescent="0.25">
      <c r="K5367" s="87"/>
    </row>
    <row r="5368" spans="11:11" x14ac:dyDescent="0.25">
      <c r="K5368" s="87"/>
    </row>
    <row r="5369" spans="11:11" x14ac:dyDescent="0.25">
      <c r="K5369" s="87"/>
    </row>
    <row r="5370" spans="11:11" x14ac:dyDescent="0.25">
      <c r="K5370" s="87"/>
    </row>
    <row r="5371" spans="11:11" x14ac:dyDescent="0.25">
      <c r="K5371" s="87"/>
    </row>
    <row r="5372" spans="11:11" x14ac:dyDescent="0.25">
      <c r="K5372" s="87"/>
    </row>
    <row r="5373" spans="11:11" x14ac:dyDescent="0.25">
      <c r="K5373" s="87"/>
    </row>
    <row r="5374" spans="11:11" x14ac:dyDescent="0.25">
      <c r="K5374" s="87"/>
    </row>
    <row r="5375" spans="11:11" x14ac:dyDescent="0.25">
      <c r="K5375" s="87"/>
    </row>
    <row r="5376" spans="11:11" x14ac:dyDescent="0.25">
      <c r="K5376" s="87"/>
    </row>
    <row r="5377" spans="11:11" x14ac:dyDescent="0.25">
      <c r="K5377" s="87"/>
    </row>
    <row r="5378" spans="11:11" x14ac:dyDescent="0.25">
      <c r="K5378" s="87"/>
    </row>
    <row r="5379" spans="11:11" x14ac:dyDescent="0.25">
      <c r="K5379" s="87"/>
    </row>
    <row r="5380" spans="11:11" x14ac:dyDescent="0.25">
      <c r="K5380" s="87"/>
    </row>
    <row r="5381" spans="11:11" x14ac:dyDescent="0.25">
      <c r="K5381" s="87"/>
    </row>
    <row r="5382" spans="11:11" x14ac:dyDescent="0.25">
      <c r="K5382" s="87"/>
    </row>
    <row r="5383" spans="11:11" x14ac:dyDescent="0.25">
      <c r="K5383" s="87"/>
    </row>
    <row r="5384" spans="11:11" x14ac:dyDescent="0.25">
      <c r="K5384" s="87"/>
    </row>
    <row r="5385" spans="11:11" x14ac:dyDescent="0.25">
      <c r="K5385" s="87"/>
    </row>
    <row r="5386" spans="11:11" x14ac:dyDescent="0.25">
      <c r="K5386" s="87"/>
    </row>
    <row r="5387" spans="11:11" x14ac:dyDescent="0.25">
      <c r="K5387" s="87"/>
    </row>
    <row r="5388" spans="11:11" x14ac:dyDescent="0.25">
      <c r="K5388" s="87"/>
    </row>
    <row r="5389" spans="11:11" x14ac:dyDescent="0.25">
      <c r="K5389" s="87"/>
    </row>
    <row r="5390" spans="11:11" x14ac:dyDescent="0.25">
      <c r="K5390" s="87"/>
    </row>
    <row r="5391" spans="11:11" x14ac:dyDescent="0.25">
      <c r="K5391" s="87"/>
    </row>
    <row r="5392" spans="11:11" x14ac:dyDescent="0.25">
      <c r="K5392" s="87"/>
    </row>
    <row r="5393" spans="11:11" x14ac:dyDescent="0.25">
      <c r="K5393" s="87"/>
    </row>
    <row r="5394" spans="11:11" x14ac:dyDescent="0.25">
      <c r="K5394" s="87"/>
    </row>
    <row r="5395" spans="11:11" x14ac:dyDescent="0.25">
      <c r="K5395" s="87"/>
    </row>
    <row r="5396" spans="11:11" x14ac:dyDescent="0.25">
      <c r="K5396" s="87"/>
    </row>
    <row r="5397" spans="11:11" x14ac:dyDescent="0.25">
      <c r="K5397" s="87"/>
    </row>
    <row r="5398" spans="11:11" x14ac:dyDescent="0.25">
      <c r="K5398" s="87"/>
    </row>
    <row r="5399" spans="11:11" x14ac:dyDescent="0.25">
      <c r="K5399" s="87"/>
    </row>
    <row r="5400" spans="11:11" x14ac:dyDescent="0.25">
      <c r="K5400" s="87"/>
    </row>
    <row r="5401" spans="11:11" x14ac:dyDescent="0.25">
      <c r="K5401" s="87"/>
    </row>
    <row r="5402" spans="11:11" x14ac:dyDescent="0.25">
      <c r="K5402" s="87"/>
    </row>
    <row r="5403" spans="11:11" x14ac:dyDescent="0.25">
      <c r="K5403" s="87"/>
    </row>
    <row r="5404" spans="11:11" x14ac:dyDescent="0.25">
      <c r="K5404" s="87"/>
    </row>
    <row r="5405" spans="11:11" x14ac:dyDescent="0.25">
      <c r="K5405" s="87"/>
    </row>
    <row r="5406" spans="11:11" x14ac:dyDescent="0.25">
      <c r="K5406" s="87"/>
    </row>
    <row r="5407" spans="11:11" x14ac:dyDescent="0.25">
      <c r="K5407" s="87"/>
    </row>
    <row r="5408" spans="11:11" x14ac:dyDescent="0.25">
      <c r="K5408" s="87"/>
    </row>
    <row r="5409" spans="11:11" x14ac:dyDescent="0.25">
      <c r="K5409" s="87"/>
    </row>
    <row r="5410" spans="11:11" x14ac:dyDescent="0.25">
      <c r="K5410" s="87"/>
    </row>
    <row r="5411" spans="11:11" x14ac:dyDescent="0.25">
      <c r="K5411" s="87"/>
    </row>
    <row r="5412" spans="11:11" x14ac:dyDescent="0.25">
      <c r="K5412" s="87"/>
    </row>
    <row r="5413" spans="11:11" x14ac:dyDescent="0.25">
      <c r="K5413" s="87"/>
    </row>
    <row r="5414" spans="11:11" x14ac:dyDescent="0.25">
      <c r="K5414" s="87"/>
    </row>
    <row r="5415" spans="11:11" x14ac:dyDescent="0.25">
      <c r="K5415" s="87"/>
    </row>
    <row r="5416" spans="11:11" x14ac:dyDescent="0.25">
      <c r="K5416" s="87"/>
    </row>
    <row r="5417" spans="11:11" x14ac:dyDescent="0.25">
      <c r="K5417" s="87"/>
    </row>
    <row r="5418" spans="11:11" x14ac:dyDescent="0.25">
      <c r="K5418" s="87"/>
    </row>
    <row r="5419" spans="11:11" x14ac:dyDescent="0.25">
      <c r="K5419" s="87"/>
    </row>
    <row r="5420" spans="11:11" x14ac:dyDescent="0.25">
      <c r="K5420" s="87"/>
    </row>
    <row r="5421" spans="11:11" x14ac:dyDescent="0.25">
      <c r="K5421" s="87"/>
    </row>
    <row r="5422" spans="11:11" x14ac:dyDescent="0.25">
      <c r="K5422" s="87"/>
    </row>
    <row r="5423" spans="11:11" x14ac:dyDescent="0.25">
      <c r="K5423" s="87"/>
    </row>
    <row r="5424" spans="11:11" x14ac:dyDescent="0.25">
      <c r="K5424" s="87"/>
    </row>
    <row r="5425" spans="11:11" x14ac:dyDescent="0.25">
      <c r="K5425" s="87"/>
    </row>
    <row r="5426" spans="11:11" x14ac:dyDescent="0.25">
      <c r="K5426" s="87"/>
    </row>
    <row r="5427" spans="11:11" x14ac:dyDescent="0.25">
      <c r="K5427" s="87"/>
    </row>
    <row r="5428" spans="11:11" x14ac:dyDescent="0.25">
      <c r="K5428" s="87"/>
    </row>
    <row r="5429" spans="11:11" x14ac:dyDescent="0.25">
      <c r="K5429" s="87"/>
    </row>
    <row r="5430" spans="11:11" x14ac:dyDescent="0.25">
      <c r="K5430" s="87"/>
    </row>
    <row r="5431" spans="11:11" x14ac:dyDescent="0.25">
      <c r="K5431" s="87"/>
    </row>
    <row r="5432" spans="11:11" x14ac:dyDescent="0.25">
      <c r="K5432" s="87"/>
    </row>
    <row r="5433" spans="11:11" x14ac:dyDescent="0.25">
      <c r="K5433" s="87"/>
    </row>
    <row r="5434" spans="11:11" x14ac:dyDescent="0.25">
      <c r="K5434" s="87"/>
    </row>
    <row r="5435" spans="11:11" x14ac:dyDescent="0.25">
      <c r="K5435" s="87"/>
    </row>
    <row r="5436" spans="11:11" x14ac:dyDescent="0.25">
      <c r="K5436" s="87"/>
    </row>
    <row r="5437" spans="11:11" x14ac:dyDescent="0.25">
      <c r="K5437" s="87"/>
    </row>
    <row r="5438" spans="11:11" x14ac:dyDescent="0.25">
      <c r="K5438" s="87"/>
    </row>
    <row r="5439" spans="11:11" x14ac:dyDescent="0.25">
      <c r="K5439" s="87"/>
    </row>
    <row r="5440" spans="11:11" x14ac:dyDescent="0.25">
      <c r="K5440" s="87"/>
    </row>
    <row r="5441" spans="11:11" x14ac:dyDescent="0.25">
      <c r="K5441" s="87"/>
    </row>
    <row r="5442" spans="11:11" x14ac:dyDescent="0.25">
      <c r="K5442" s="87"/>
    </row>
    <row r="5443" spans="11:11" x14ac:dyDescent="0.25">
      <c r="K5443" s="87"/>
    </row>
    <row r="5444" spans="11:11" x14ac:dyDescent="0.25">
      <c r="K5444" s="87"/>
    </row>
    <row r="5445" spans="11:11" x14ac:dyDescent="0.25">
      <c r="K5445" s="87"/>
    </row>
    <row r="5446" spans="11:11" x14ac:dyDescent="0.25">
      <c r="K5446" s="87"/>
    </row>
    <row r="5447" spans="11:11" x14ac:dyDescent="0.25">
      <c r="K5447" s="87"/>
    </row>
    <row r="5448" spans="11:11" x14ac:dyDescent="0.25">
      <c r="K5448" s="87"/>
    </row>
    <row r="5449" spans="11:11" x14ac:dyDescent="0.25">
      <c r="K5449" s="87"/>
    </row>
    <row r="5450" spans="11:11" x14ac:dyDescent="0.25">
      <c r="K5450" s="87"/>
    </row>
    <row r="5451" spans="11:11" x14ac:dyDescent="0.25">
      <c r="K5451" s="87"/>
    </row>
    <row r="5452" spans="11:11" x14ac:dyDescent="0.25">
      <c r="K5452" s="87"/>
    </row>
    <row r="5453" spans="11:11" x14ac:dyDescent="0.25">
      <c r="K5453" s="87"/>
    </row>
    <row r="5454" spans="11:11" x14ac:dyDescent="0.25">
      <c r="K5454" s="87"/>
    </row>
    <row r="5455" spans="11:11" x14ac:dyDescent="0.25">
      <c r="K5455" s="87"/>
    </row>
    <row r="5456" spans="11:11" x14ac:dyDescent="0.25">
      <c r="K5456" s="87"/>
    </row>
    <row r="5457" spans="11:11" x14ac:dyDescent="0.25">
      <c r="K5457" s="87"/>
    </row>
    <row r="5458" spans="11:11" x14ac:dyDescent="0.25">
      <c r="K5458" s="87"/>
    </row>
    <row r="5459" spans="11:11" x14ac:dyDescent="0.25">
      <c r="K5459" s="87"/>
    </row>
    <row r="5460" spans="11:11" x14ac:dyDescent="0.25">
      <c r="K5460" s="87"/>
    </row>
    <row r="5461" spans="11:11" x14ac:dyDescent="0.25">
      <c r="K5461" s="87"/>
    </row>
    <row r="5462" spans="11:11" x14ac:dyDescent="0.25">
      <c r="K5462" s="87"/>
    </row>
    <row r="5463" spans="11:11" x14ac:dyDescent="0.25">
      <c r="K5463" s="87"/>
    </row>
    <row r="5464" spans="11:11" x14ac:dyDescent="0.25">
      <c r="K5464" s="87"/>
    </row>
    <row r="5465" spans="11:11" x14ac:dyDescent="0.25">
      <c r="K5465" s="87"/>
    </row>
    <row r="5466" spans="11:11" x14ac:dyDescent="0.25">
      <c r="K5466" s="87"/>
    </row>
    <row r="5467" spans="11:11" x14ac:dyDescent="0.25">
      <c r="K5467" s="87"/>
    </row>
    <row r="5468" spans="11:11" x14ac:dyDescent="0.25">
      <c r="K5468" s="87"/>
    </row>
    <row r="5469" spans="11:11" x14ac:dyDescent="0.25">
      <c r="K5469" s="87"/>
    </row>
    <row r="5470" spans="11:11" x14ac:dyDescent="0.25">
      <c r="K5470" s="87"/>
    </row>
    <row r="5471" spans="11:11" x14ac:dyDescent="0.25">
      <c r="K5471" s="87"/>
    </row>
    <row r="5472" spans="11:11" x14ac:dyDescent="0.25">
      <c r="K5472" s="87"/>
    </row>
    <row r="5473" spans="11:11" x14ac:dyDescent="0.25">
      <c r="K5473" s="87"/>
    </row>
    <row r="5474" spans="11:11" x14ac:dyDescent="0.25">
      <c r="K5474" s="87"/>
    </row>
    <row r="5475" spans="11:11" x14ac:dyDescent="0.25">
      <c r="K5475" s="87"/>
    </row>
    <row r="5476" spans="11:11" x14ac:dyDescent="0.25">
      <c r="K5476" s="87"/>
    </row>
    <row r="5477" spans="11:11" x14ac:dyDescent="0.25">
      <c r="K5477" s="87"/>
    </row>
    <row r="5478" spans="11:11" x14ac:dyDescent="0.25">
      <c r="K5478" s="87"/>
    </row>
    <row r="5479" spans="11:11" x14ac:dyDescent="0.25">
      <c r="K5479" s="87"/>
    </row>
    <row r="5480" spans="11:11" x14ac:dyDescent="0.25">
      <c r="K5480" s="87"/>
    </row>
    <row r="5481" spans="11:11" x14ac:dyDescent="0.25">
      <c r="K5481" s="87"/>
    </row>
    <row r="5482" spans="11:11" x14ac:dyDescent="0.25">
      <c r="K5482" s="87"/>
    </row>
    <row r="5483" spans="11:11" x14ac:dyDescent="0.25">
      <c r="K5483" s="87"/>
    </row>
    <row r="5484" spans="11:11" x14ac:dyDescent="0.25">
      <c r="K5484" s="87"/>
    </row>
    <row r="5485" spans="11:11" x14ac:dyDescent="0.25">
      <c r="K5485" s="87"/>
    </row>
    <row r="5486" spans="11:11" x14ac:dyDescent="0.25">
      <c r="K5486" s="87"/>
    </row>
    <row r="5487" spans="11:11" x14ac:dyDescent="0.25">
      <c r="K5487" s="87"/>
    </row>
    <row r="5488" spans="11:11" x14ac:dyDescent="0.25">
      <c r="K5488" s="87"/>
    </row>
    <row r="5489" spans="11:11" x14ac:dyDescent="0.25">
      <c r="K5489" s="87"/>
    </row>
    <row r="5490" spans="11:11" x14ac:dyDescent="0.25">
      <c r="K5490" s="87"/>
    </row>
    <row r="5491" spans="11:11" x14ac:dyDescent="0.25">
      <c r="K5491" s="87"/>
    </row>
    <row r="5492" spans="11:11" x14ac:dyDescent="0.25">
      <c r="K5492" s="87"/>
    </row>
    <row r="5493" spans="11:11" x14ac:dyDescent="0.25">
      <c r="K5493" s="87"/>
    </row>
    <row r="5494" spans="11:11" x14ac:dyDescent="0.25">
      <c r="K5494" s="87"/>
    </row>
    <row r="5495" spans="11:11" x14ac:dyDescent="0.25">
      <c r="K5495" s="87"/>
    </row>
    <row r="5496" spans="11:11" x14ac:dyDescent="0.25">
      <c r="K5496" s="87"/>
    </row>
    <row r="5497" spans="11:11" x14ac:dyDescent="0.25">
      <c r="K5497" s="87"/>
    </row>
    <row r="5498" spans="11:11" x14ac:dyDescent="0.25">
      <c r="K5498" s="87"/>
    </row>
    <row r="5499" spans="11:11" x14ac:dyDescent="0.25">
      <c r="K5499" s="87"/>
    </row>
    <row r="5500" spans="11:11" x14ac:dyDescent="0.25">
      <c r="K5500" s="87"/>
    </row>
  </sheetData>
  <sortState xmlns:xlrd2="http://schemas.microsoft.com/office/spreadsheetml/2017/richdata2" ref="I3:K5002">
    <sortCondition ref="J3:J5002"/>
  </sortState>
  <mergeCells count="3">
    <mergeCell ref="B1:G1"/>
    <mergeCell ref="L2:M2"/>
    <mergeCell ref="N2:O2"/>
  </mergeCells>
  <conditionalFormatting sqref="M4">
    <cfRule type="cellIs" dxfId="17" priority="3" operator="lessThan">
      <formula>0</formula>
    </cfRule>
    <cfRule type="cellIs" dxfId="16" priority="4" operator="greaterThan">
      <formula>0</formula>
    </cfRule>
  </conditionalFormatting>
  <conditionalFormatting sqref="R4">
    <cfRule type="cellIs" dxfId="15" priority="1" operator="lessThan">
      <formula>0.1</formula>
    </cfRule>
    <cfRule type="cellIs" dxfId="14" priority="2" operator="greaterThan">
      <formula>0.1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0" r:id="rId3" name="Button 12">
              <controlPr defaultSize="0" print="0" autoFill="0" autoPict="0" macro="[0]!Montecarlo_Riesgo">
                <anchor moveWithCells="1" sizeWithCells="1">
                  <from>
                    <xdr:col>2</xdr:col>
                    <xdr:colOff>323850</xdr:colOff>
                    <xdr:row>19</xdr:row>
                    <xdr:rowOff>76200</xdr:rowOff>
                  </from>
                  <to>
                    <xdr:col>4</xdr:col>
                    <xdr:colOff>723900</xdr:colOff>
                    <xdr:row>22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B7FDD-BDF4-4A93-A5B9-D1AD9CA44E46}">
  <sheetPr codeName="Hoja9">
    <tabColor rgb="FF0070C0"/>
  </sheetPr>
  <dimension ref="A1:R27"/>
  <sheetViews>
    <sheetView showGridLines="0" showRowColHeaders="0" zoomScale="80" zoomScaleNormal="80" workbookViewId="0"/>
  </sheetViews>
  <sheetFormatPr baseColWidth="10" defaultRowHeight="15" x14ac:dyDescent="0.25"/>
  <cols>
    <col min="1" max="1" width="7.7109375" customWidth="1"/>
    <col min="2" max="5" width="13.7109375" customWidth="1"/>
    <col min="6" max="6" width="7.7109375" customWidth="1"/>
    <col min="7" max="8" width="11.7109375" customWidth="1"/>
    <col min="9" max="9" width="7.7109375" customWidth="1"/>
    <col min="10" max="13" width="13.7109375" customWidth="1"/>
    <col min="14" max="14" width="7.7109375" customWidth="1"/>
  </cols>
  <sheetData>
    <row r="1" spans="1:18" x14ac:dyDescent="0.25">
      <c r="A1" s="2"/>
      <c r="B1" s="236" t="str">
        <f>IF(E4&gt;0,"SUSTITUTOS","COMPLEMENTARIOS")</f>
        <v>COMPLEMENTARIOS</v>
      </c>
      <c r="C1" s="236"/>
      <c r="D1" s="236"/>
      <c r="E1" s="236"/>
      <c r="F1" s="2"/>
      <c r="I1" s="2"/>
      <c r="J1" s="236" t="s">
        <v>140</v>
      </c>
      <c r="K1" s="236"/>
      <c r="L1" s="236"/>
      <c r="M1" s="236"/>
      <c r="N1" s="2"/>
    </row>
    <row r="2" spans="1:18" x14ac:dyDescent="0.25">
      <c r="A2" s="2"/>
      <c r="B2" s="100"/>
      <c r="C2" s="101"/>
      <c r="D2" s="102" t="s">
        <v>70</v>
      </c>
      <c r="E2" s="103">
        <v>300</v>
      </c>
      <c r="F2" s="2"/>
      <c r="I2" s="2"/>
      <c r="J2" s="100"/>
      <c r="K2" s="101"/>
      <c r="L2" s="102" t="s">
        <v>70</v>
      </c>
      <c r="M2" s="103">
        <v>300</v>
      </c>
      <c r="N2" s="2"/>
      <c r="Q2" s="99" t="s">
        <v>135</v>
      </c>
      <c r="R2" s="115">
        <f>C18-K18</f>
        <v>2066.1157024793338</v>
      </c>
    </row>
    <row r="3" spans="1:18" x14ac:dyDescent="0.25">
      <c r="A3" s="2"/>
      <c r="B3" s="101"/>
      <c r="C3" s="101"/>
      <c r="D3" s="104" t="s">
        <v>125</v>
      </c>
      <c r="E3" s="105">
        <v>3</v>
      </c>
      <c r="F3" s="2"/>
      <c r="I3" s="2"/>
      <c r="J3" s="101"/>
      <c r="K3" s="101"/>
      <c r="L3" s="104" t="s">
        <v>125</v>
      </c>
      <c r="M3" s="105">
        <v>3</v>
      </c>
      <c r="N3" s="2"/>
      <c r="R3" s="116">
        <f>C18/K18-1</f>
        <v>1.139151969707668</v>
      </c>
    </row>
    <row r="4" spans="1:18" x14ac:dyDescent="0.25">
      <c r="A4" s="2"/>
      <c r="D4" s="106" t="s">
        <v>126</v>
      </c>
      <c r="E4" s="107">
        <v>-1</v>
      </c>
      <c r="F4" s="2"/>
      <c r="I4" s="2"/>
      <c r="L4" s="106" t="s">
        <v>126</v>
      </c>
      <c r="M4" s="107">
        <v>-1</v>
      </c>
      <c r="N4" s="2"/>
    </row>
    <row r="5" spans="1:18" x14ac:dyDescent="0.25">
      <c r="A5" s="2"/>
      <c r="B5" s="100"/>
      <c r="C5" s="101"/>
      <c r="D5" s="102" t="s">
        <v>72</v>
      </c>
      <c r="E5" s="103">
        <v>100</v>
      </c>
      <c r="F5" s="2"/>
      <c r="I5" s="2"/>
      <c r="J5" s="100"/>
      <c r="K5" s="101"/>
      <c r="L5" s="102" t="s">
        <v>72</v>
      </c>
      <c r="M5" s="103">
        <v>100</v>
      </c>
      <c r="N5" s="2"/>
    </row>
    <row r="6" spans="1:18" x14ac:dyDescent="0.25">
      <c r="A6" s="2"/>
      <c r="D6" s="106" t="s">
        <v>127</v>
      </c>
      <c r="E6" s="107">
        <v>1</v>
      </c>
      <c r="F6" s="2"/>
      <c r="I6" s="2"/>
      <c r="L6" s="106" t="s">
        <v>127</v>
      </c>
      <c r="M6" s="107">
        <v>1</v>
      </c>
      <c r="N6" s="2"/>
    </row>
    <row r="7" spans="1:18" x14ac:dyDescent="0.25">
      <c r="A7" s="2"/>
      <c r="D7" s="108" t="s">
        <v>128</v>
      </c>
      <c r="E7" s="109">
        <v>-1</v>
      </c>
      <c r="F7" s="2"/>
      <c r="I7" s="2"/>
      <c r="L7" s="108" t="s">
        <v>128</v>
      </c>
      <c r="M7" s="109">
        <v>-1</v>
      </c>
      <c r="N7" s="2"/>
    </row>
    <row r="8" spans="1:18" x14ac:dyDescent="0.25">
      <c r="A8" s="2"/>
      <c r="D8" s="110" t="s">
        <v>129</v>
      </c>
      <c r="E8" s="111">
        <v>10</v>
      </c>
      <c r="F8" s="2"/>
      <c r="I8" s="2"/>
      <c r="L8" s="110" t="s">
        <v>129</v>
      </c>
      <c r="M8" s="111">
        <v>10</v>
      </c>
      <c r="N8" s="2"/>
    </row>
    <row r="9" spans="1:18" x14ac:dyDescent="0.25">
      <c r="A9" s="2"/>
      <c r="D9" s="102" t="s">
        <v>130</v>
      </c>
      <c r="E9" s="103">
        <v>10</v>
      </c>
      <c r="F9" s="2"/>
      <c r="I9" s="2"/>
      <c r="L9" s="102" t="s">
        <v>130</v>
      </c>
      <c r="M9" s="103">
        <v>10</v>
      </c>
      <c r="N9" s="2"/>
    </row>
    <row r="10" spans="1:18" x14ac:dyDescent="0.25">
      <c r="A10" s="2"/>
      <c r="D10" s="112" t="s">
        <v>131</v>
      </c>
      <c r="E10" s="113">
        <v>500</v>
      </c>
      <c r="F10" s="2"/>
      <c r="I10" s="2"/>
      <c r="L10" s="112" t="s">
        <v>131</v>
      </c>
      <c r="M10" s="113">
        <v>500</v>
      </c>
      <c r="N10" s="2"/>
    </row>
    <row r="11" spans="1:18" x14ac:dyDescent="0.25">
      <c r="A11" s="2"/>
      <c r="D11" s="102" t="s">
        <v>133</v>
      </c>
      <c r="E11" s="114">
        <v>0.21</v>
      </c>
      <c r="F11" s="2"/>
      <c r="I11" s="2"/>
      <c r="L11" s="102" t="s">
        <v>133</v>
      </c>
      <c r="M11" s="114">
        <v>0.21</v>
      </c>
      <c r="N11" s="2"/>
    </row>
    <row r="12" spans="1:18" x14ac:dyDescent="0.25">
      <c r="A12" s="2"/>
      <c r="D12" s="102" t="s">
        <v>134</v>
      </c>
      <c r="E12" s="114">
        <v>0.21</v>
      </c>
      <c r="F12" s="2"/>
      <c r="I12" s="2"/>
      <c r="L12" s="102" t="s">
        <v>134</v>
      </c>
      <c r="M12" s="114">
        <v>0.21</v>
      </c>
      <c r="N12" s="2"/>
    </row>
    <row r="13" spans="1:18" x14ac:dyDescent="0.25">
      <c r="A13" s="2"/>
      <c r="F13" s="2"/>
      <c r="I13" s="2"/>
      <c r="N13" s="2"/>
    </row>
    <row r="14" spans="1:18" ht="15.75" thickBot="1" x14ac:dyDescent="0.3">
      <c r="A14" s="2"/>
      <c r="B14" s="239" t="s">
        <v>132</v>
      </c>
      <c r="C14" s="239"/>
      <c r="D14" s="239"/>
      <c r="E14" s="239"/>
      <c r="F14" s="2"/>
      <c r="I14" s="2"/>
      <c r="J14" s="239" t="s">
        <v>132</v>
      </c>
      <c r="K14" s="239"/>
      <c r="L14" s="239"/>
      <c r="M14" s="239"/>
      <c r="N14" s="2"/>
    </row>
    <row r="15" spans="1:18" ht="15.75" thickTop="1" x14ac:dyDescent="0.25">
      <c r="A15" s="2"/>
      <c r="F15" s="2"/>
      <c r="I15" s="2"/>
      <c r="N15" s="2"/>
    </row>
    <row r="16" spans="1:18" x14ac:dyDescent="0.25">
      <c r="A16" s="2"/>
      <c r="B16" s="99" t="s">
        <v>79</v>
      </c>
      <c r="C16" s="96">
        <f>(E16*E18)/(1+E11) + (E17*E19)/(1+E12)</f>
        <v>6016.847129791051</v>
      </c>
      <c r="D16" s="99" t="s">
        <v>77</v>
      </c>
      <c r="E16" s="96">
        <v>56.05000088582058</v>
      </c>
      <c r="F16" s="2"/>
      <c r="I16" s="2"/>
      <c r="J16" s="99" t="s">
        <v>79</v>
      </c>
      <c r="K16" s="96">
        <f>(M16*M18)/(1+M11) + (M17*M19)/(1+M12)</f>
        <v>2950.7314049586785</v>
      </c>
      <c r="L16" s="99" t="s">
        <v>77</v>
      </c>
      <c r="M16" s="96">
        <f xml:space="preserve"> (M2/(2*M3)) + (M8*(1+M11)/2)</f>
        <v>56.05</v>
      </c>
      <c r="N16" s="2"/>
    </row>
    <row r="17" spans="1:14" x14ac:dyDescent="0.25">
      <c r="A17" s="2"/>
      <c r="B17" s="99" t="s">
        <v>80</v>
      </c>
      <c r="C17" s="96">
        <f>E8*E18+E9*E19+E10</f>
        <v>2137.0000223530387</v>
      </c>
      <c r="D17" s="99" t="s">
        <v>78</v>
      </c>
      <c r="E17" s="96">
        <v>6.0499971107068866</v>
      </c>
      <c r="F17" s="2"/>
      <c r="I17" s="2"/>
      <c r="J17" s="99" t="s">
        <v>80</v>
      </c>
      <c r="K17" s="96">
        <f>M8*M18+M9*M19+M10</f>
        <v>1137.0000000000002</v>
      </c>
      <c r="L17" s="99" t="s">
        <v>78</v>
      </c>
      <c r="M17" s="96">
        <f xml:space="preserve"> (M5/(2*M6)) + (M9*(1+M12)/2)</f>
        <v>56.05</v>
      </c>
      <c r="N17" s="2"/>
    </row>
    <row r="18" spans="1:14" x14ac:dyDescent="0.25">
      <c r="A18" s="2"/>
      <c r="B18" s="99" t="s">
        <v>81</v>
      </c>
      <c r="C18" s="96">
        <f>C16-C17</f>
        <v>3879.8471074380122</v>
      </c>
      <c r="D18" s="99" t="s">
        <v>74</v>
      </c>
      <c r="E18" s="96">
        <f>E2-E3*E16+E4*E17</f>
        <v>125.80000023183136</v>
      </c>
      <c r="F18" s="2"/>
      <c r="I18" s="2"/>
      <c r="J18" s="99" t="s">
        <v>81</v>
      </c>
      <c r="K18" s="96">
        <f>K16-K17</f>
        <v>1813.7314049586782</v>
      </c>
      <c r="L18" s="99" t="s">
        <v>74</v>
      </c>
      <c r="M18" s="96">
        <f>M2-M3*M16+M4*M17</f>
        <v>75.800000000000026</v>
      </c>
      <c r="N18" s="2"/>
    </row>
    <row r="19" spans="1:14" x14ac:dyDescent="0.25">
      <c r="A19" s="2"/>
      <c r="D19" s="99" t="s">
        <v>75</v>
      </c>
      <c r="E19" s="96">
        <f>E5-E6*E17+E7*E16</f>
        <v>37.900002003472537</v>
      </c>
      <c r="F19" s="2"/>
      <c r="I19" s="2"/>
      <c r="L19" s="99" t="s">
        <v>75</v>
      </c>
      <c r="M19" s="96">
        <f>M5-M6*M17+M7*M16</f>
        <v>-12.099999999999994</v>
      </c>
      <c r="N19" s="2"/>
    </row>
    <row r="20" spans="1:14" x14ac:dyDescent="0.25">
      <c r="A20" s="2"/>
      <c r="C20" s="96"/>
      <c r="F20" s="2"/>
      <c r="I20" s="2"/>
      <c r="K20" s="96"/>
      <c r="N20" s="2"/>
    </row>
    <row r="21" spans="1:14" x14ac:dyDescent="0.25">
      <c r="A21" s="2"/>
      <c r="F21" s="2"/>
      <c r="I21" s="2"/>
      <c r="N21" s="2"/>
    </row>
    <row r="22" spans="1:14" ht="15.75" thickBot="1" x14ac:dyDescent="0.3">
      <c r="A22" s="2"/>
      <c r="B22" s="239" t="s">
        <v>26</v>
      </c>
      <c r="C22" s="239"/>
      <c r="D22" s="239"/>
      <c r="E22" s="239"/>
      <c r="F22" s="2"/>
      <c r="I22" s="2"/>
      <c r="J22" s="239" t="s">
        <v>26</v>
      </c>
      <c r="K22" s="239"/>
      <c r="L22" s="239"/>
      <c r="M22" s="239"/>
      <c r="N22" s="2"/>
    </row>
    <row r="23" spans="1:14" ht="15.75" thickTop="1" x14ac:dyDescent="0.25">
      <c r="A23" s="2"/>
      <c r="B23" s="5"/>
      <c r="C23" s="3" t="s">
        <v>136</v>
      </c>
      <c r="D23" s="17">
        <f>( (E16/(1+E11)) - E8 ) / E8</f>
        <v>3.6322314781669904</v>
      </c>
      <c r="E23" s="5"/>
      <c r="F23" s="2"/>
      <c r="I23" s="2"/>
      <c r="J23" s="5"/>
      <c r="K23" s="3" t="s">
        <v>136</v>
      </c>
      <c r="L23" s="17">
        <f>( (M16/(1+M11)) - M8 ) / M8</f>
        <v>3.6322314049586772</v>
      </c>
      <c r="M23" s="5"/>
      <c r="N23" s="2"/>
    </row>
    <row r="24" spans="1:14" x14ac:dyDescent="0.25">
      <c r="A24" s="2"/>
      <c r="B24" s="5"/>
      <c r="C24" s="3" t="s">
        <v>137</v>
      </c>
      <c r="D24" s="17">
        <f>( (E17/(1+E12)) - E9 ) / E9</f>
        <v>-0.5000002387845548</v>
      </c>
      <c r="E24" s="5"/>
      <c r="F24" s="2"/>
      <c r="I24" s="2"/>
      <c r="J24" s="5"/>
      <c r="K24" s="3" t="s">
        <v>137</v>
      </c>
      <c r="L24" s="17">
        <f>( (M17/(1+M12)) - M9 ) / M9</f>
        <v>3.6322314049586772</v>
      </c>
      <c r="M24" s="5"/>
      <c r="N24" s="2"/>
    </row>
    <row r="25" spans="1:14" x14ac:dyDescent="0.25">
      <c r="A25" s="2"/>
      <c r="B25" s="5"/>
      <c r="C25" s="3" t="s">
        <v>138</v>
      </c>
      <c r="D25" s="17">
        <f>( (E16/(1+E11)) - E8 ) / (E16/(1+E11))</f>
        <v>0.78412132366154819</v>
      </c>
      <c r="E25" s="5"/>
      <c r="F25" s="2"/>
      <c r="I25" s="2"/>
      <c r="J25" s="5"/>
      <c r="K25" s="3" t="s">
        <v>138</v>
      </c>
      <c r="L25" s="17">
        <f>( (M16/(1+M11)) - M8 ) / (M16/(1+M11))</f>
        <v>0.78412132024977699</v>
      </c>
      <c r="M25" s="5"/>
      <c r="N25" s="2"/>
    </row>
    <row r="26" spans="1:14" x14ac:dyDescent="0.25">
      <c r="A26" s="2"/>
      <c r="B26" s="5"/>
      <c r="C26" s="3" t="s">
        <v>139</v>
      </c>
      <c r="D26" s="17">
        <f>( (E17/(1+E12)) - E9 ) /  (E17/(1+E12))</f>
        <v>-1.0000009551386753</v>
      </c>
      <c r="E26" s="5"/>
      <c r="F26" s="2"/>
      <c r="I26" s="2"/>
      <c r="J26" s="5"/>
      <c r="K26" s="3" t="s">
        <v>139</v>
      </c>
      <c r="L26" s="17">
        <f>( (M17/(1+M12)) - M9 ) /  (M17/(1+M12))</f>
        <v>0.78412132024977699</v>
      </c>
      <c r="M26" s="5"/>
      <c r="N26" s="2"/>
    </row>
    <row r="27" spans="1:14" x14ac:dyDescent="0.25">
      <c r="A27" s="2"/>
      <c r="B27" s="2"/>
      <c r="C27" s="2"/>
      <c r="D27" s="2"/>
      <c r="E27" s="2"/>
      <c r="F27" s="2"/>
      <c r="I27" s="2"/>
      <c r="J27" s="2"/>
      <c r="K27" s="2"/>
      <c r="L27" s="2"/>
      <c r="M27" s="2"/>
      <c r="N27" s="2"/>
    </row>
  </sheetData>
  <mergeCells count="6">
    <mergeCell ref="B1:E1"/>
    <mergeCell ref="B14:E14"/>
    <mergeCell ref="B22:E22"/>
    <mergeCell ref="J1:M1"/>
    <mergeCell ref="J14:M14"/>
    <mergeCell ref="J22:M22"/>
  </mergeCells>
  <conditionalFormatting sqref="R3">
    <cfRule type="cellIs" dxfId="13" priority="1" operator="lessThan">
      <formula>0.25</formula>
    </cfRule>
    <cfRule type="cellIs" dxfId="12" priority="2" operator="greaterThan">
      <formula>0.25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ultiproducto">
                <anchor moveWithCells="1" sizeWithCells="1">
                  <from>
                    <xdr:col>6</xdr:col>
                    <xdr:colOff>38100</xdr:colOff>
                    <xdr:row>0</xdr:row>
                    <xdr:rowOff>0</xdr:rowOff>
                  </from>
                  <to>
                    <xdr:col>7</xdr:col>
                    <xdr:colOff>752475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9DC71-1D83-4CF7-BF2F-AEC769C42642}">
  <sheetPr codeName="Hoja14">
    <tabColor rgb="FF0070C0"/>
  </sheetPr>
  <dimension ref="A1"/>
  <sheetViews>
    <sheetView showGridLines="0" showRowColHeaders="0" zoomScaleNormal="10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2C3C7-733A-4958-8BEB-926D04DE954D}">
  <sheetPr codeName="Hoja12">
    <tabColor rgb="FF0070C0"/>
  </sheetPr>
  <dimension ref="A1:K17"/>
  <sheetViews>
    <sheetView showGridLines="0" showRowColHeaders="0" zoomScale="80" zoomScaleNormal="80" workbookViewId="0">
      <selection sqref="A1:B1"/>
    </sheetView>
  </sheetViews>
  <sheetFormatPr baseColWidth="10" defaultRowHeight="15" x14ac:dyDescent="0.25"/>
  <cols>
    <col min="1" max="1" width="22.7109375" style="118" customWidth="1"/>
    <col min="2" max="5" width="20.7109375" style="118" customWidth="1"/>
    <col min="6" max="10" width="20.7109375" customWidth="1"/>
    <col min="11" max="11" width="15.7109375" customWidth="1"/>
  </cols>
  <sheetData>
    <row r="1" spans="1:11" ht="15.75" x14ac:dyDescent="0.25">
      <c r="A1" s="233" t="s">
        <v>152</v>
      </c>
      <c r="B1" s="233"/>
      <c r="D1" s="246" t="s">
        <v>163</v>
      </c>
      <c r="E1" s="247"/>
      <c r="F1" s="247"/>
      <c r="G1" s="248"/>
      <c r="H1" s="243" t="s">
        <v>160</v>
      </c>
      <c r="I1" s="244"/>
      <c r="J1" s="244"/>
      <c r="K1" s="245"/>
    </row>
    <row r="2" spans="1:11" x14ac:dyDescent="0.25">
      <c r="A2" s="102" t="s">
        <v>150</v>
      </c>
      <c r="B2" s="103">
        <v>6</v>
      </c>
      <c r="D2" s="120"/>
      <c r="E2" s="118" t="s">
        <v>147</v>
      </c>
      <c r="F2" s="118" t="s">
        <v>148</v>
      </c>
      <c r="G2" s="121" t="s">
        <v>149</v>
      </c>
      <c r="H2" s="120"/>
      <c r="I2" s="118" t="s">
        <v>147</v>
      </c>
      <c r="J2" s="118" t="s">
        <v>148</v>
      </c>
      <c r="K2" s="121" t="s">
        <v>149</v>
      </c>
    </row>
    <row r="3" spans="1:11" x14ac:dyDescent="0.25">
      <c r="A3" s="102" t="s">
        <v>151</v>
      </c>
      <c r="B3" s="103">
        <v>6</v>
      </c>
      <c r="D3" s="120" t="s">
        <v>147</v>
      </c>
      <c r="E3" s="119">
        <f>SQRT( (B12-$B$12)^2 + (C12-$C$12)^2 )</f>
        <v>0</v>
      </c>
      <c r="F3" s="119">
        <f>SQRT( (B12-$B$13)^2 + (C12-$C$13)^2 )</f>
        <v>12.727922061357855</v>
      </c>
      <c r="G3" s="123">
        <f>SQRT( (B12-$B$14)^2 + (C12-$C$14)^2 )</f>
        <v>7.0710678118654755</v>
      </c>
      <c r="H3" s="120" t="s">
        <v>147</v>
      </c>
      <c r="I3" s="119">
        <f>1 / (1+SQRT( (B12-$B$12)^2 + (C12-$C$12)^2 ))</f>
        <v>1</v>
      </c>
      <c r="J3" s="119">
        <f>1 / (1+SQRT( (B12-$B$13)^2 + (C12-$C$13)^2 ))</f>
        <v>7.284423640594942E-2</v>
      </c>
      <c r="K3" s="123">
        <f>1 / (1+SQRT( (B12-$B$14)^2 + (C12-$C$14)^2 ))</f>
        <v>0.12389934309929541</v>
      </c>
    </row>
    <row r="4" spans="1:11" x14ac:dyDescent="0.25">
      <c r="A4" s="102" t="s">
        <v>153</v>
      </c>
      <c r="B4" s="103">
        <v>4</v>
      </c>
      <c r="D4" s="120" t="s">
        <v>148</v>
      </c>
      <c r="E4" s="119">
        <f>SQRT( (B13-$B$12)^2 + (C13-$C$12)^2 )</f>
        <v>12.727922061357855</v>
      </c>
      <c r="F4" s="119">
        <f>SQRT( (B13-$B$13)^2 + (C13-$C$13)^2 )</f>
        <v>0</v>
      </c>
      <c r="G4" s="123">
        <f>SQRT( (B13-$B$14)^2 + (C13-$C$14)^2 )</f>
        <v>5.6568542494923806</v>
      </c>
      <c r="H4" s="120" t="s">
        <v>148</v>
      </c>
      <c r="I4" s="119">
        <f>1 / (1+SQRT( (B13-$B$12)^2 + (C13-$C$12)^2 ))</f>
        <v>7.284423640594942E-2</v>
      </c>
      <c r="J4" s="119">
        <f>1 / (1+SQRT( (B13-$B$13)^2 + (C13-$C$13)^2 ))</f>
        <v>1</v>
      </c>
      <c r="K4" s="123">
        <f>1 / (1+SQRT( (B13-$B$14)^2 + (C13-$C$14)^2 ))</f>
        <v>0.15022110482233483</v>
      </c>
    </row>
    <row r="5" spans="1:11" x14ac:dyDescent="0.25">
      <c r="A5" s="136" t="s">
        <v>162</v>
      </c>
      <c r="B5" s="103">
        <v>7</v>
      </c>
      <c r="D5" s="127" t="s">
        <v>149</v>
      </c>
      <c r="E5" s="122">
        <f>SQRT( (B14-$B$12)^2 + (C14-$C$12)^2 )</f>
        <v>7.0710678118654755</v>
      </c>
      <c r="F5" s="122">
        <f>SQRT( (B14-$B$13)^2 + (C14-$C$13)^2 )</f>
        <v>5.6568542494923806</v>
      </c>
      <c r="G5" s="124">
        <f>SQRT( (B14-$B$14)^2 + (C14-$C$14)^2 )</f>
        <v>0</v>
      </c>
      <c r="H5" s="127" t="s">
        <v>149</v>
      </c>
      <c r="I5" s="122">
        <f>1 / (1+SQRT( (B14-$B$12)^2 + (C14-$C$12)^2 ))</f>
        <v>0.12389934309929541</v>
      </c>
      <c r="J5" s="122">
        <f>1 / (1+SQRT( (B14-$B$13)^2 + (C14-$C$13)^2 ))</f>
        <v>0.15022110482233483</v>
      </c>
      <c r="K5" s="124">
        <f>1 / (1+SQRT( (B14-$B$14)^2 + (C14-$C$14)^2 ))</f>
        <v>1</v>
      </c>
    </row>
    <row r="6" spans="1:11" x14ac:dyDescent="0.25">
      <c r="A6" s="249" t="s">
        <v>156</v>
      </c>
      <c r="B6" s="249"/>
      <c r="E6" s="119"/>
      <c r="F6" s="119"/>
      <c r="G6" s="119"/>
    </row>
    <row r="7" spans="1:11" x14ac:dyDescent="0.25">
      <c r="A7" s="102" t="s">
        <v>150</v>
      </c>
      <c r="B7" s="103">
        <v>0.1</v>
      </c>
      <c r="E7" s="119"/>
      <c r="F7" s="119"/>
      <c r="G7" s="119"/>
    </row>
    <row r="8" spans="1:11" x14ac:dyDescent="0.25">
      <c r="A8" s="112" t="s">
        <v>151</v>
      </c>
      <c r="B8" s="113">
        <v>0.1</v>
      </c>
      <c r="E8" s="119"/>
      <c r="F8" s="119"/>
      <c r="G8" s="119"/>
    </row>
    <row r="9" spans="1:11" x14ac:dyDescent="0.25">
      <c r="E9" s="119"/>
      <c r="F9" s="119"/>
      <c r="G9" s="119"/>
    </row>
    <row r="11" spans="1:11" x14ac:dyDescent="0.25">
      <c r="A11" s="128" t="s">
        <v>143</v>
      </c>
      <c r="B11" s="125" t="s">
        <v>159</v>
      </c>
      <c r="C11" s="125" t="s">
        <v>158</v>
      </c>
      <c r="D11" s="125" t="s">
        <v>38</v>
      </c>
      <c r="E11" s="125" t="s">
        <v>154</v>
      </c>
      <c r="F11" s="125" t="s">
        <v>161</v>
      </c>
      <c r="G11" s="125" t="s">
        <v>157</v>
      </c>
      <c r="H11" s="125" t="s">
        <v>141</v>
      </c>
      <c r="I11" s="125" t="s">
        <v>155</v>
      </c>
      <c r="J11" s="126" t="s">
        <v>142</v>
      </c>
    </row>
    <row r="12" spans="1:11" x14ac:dyDescent="0.25">
      <c r="A12" s="120" t="s">
        <v>144</v>
      </c>
      <c r="B12" s="133">
        <v>10</v>
      </c>
      <c r="C12" s="133">
        <v>10</v>
      </c>
      <c r="D12" s="133">
        <v>602.14636655346715</v>
      </c>
      <c r="E12" s="133">
        <f>SQRT( (B12-B2)^2 + (C12-B3)^2 )</f>
        <v>5.6568542494923806</v>
      </c>
      <c r="F12" s="119">
        <f>SUM(I3:K3)-1</f>
        <v>0.19674357950524479</v>
      </c>
      <c r="G12" s="133">
        <f>MAX(0, 1000 -(B4*E12) -D12) / (1+B5*F12)</f>
        <v>157.84343694574687</v>
      </c>
      <c r="H12" s="129">
        <f>G12/SUM($G$12:$G$14)</f>
        <v>0.35322147559042905</v>
      </c>
      <c r="I12" s="133">
        <f>B7*B12^2 + B8*C12^2 + 2</f>
        <v>22</v>
      </c>
      <c r="J12" s="123">
        <f>(D12-I12)*H12</f>
        <v>204.92015565244159</v>
      </c>
    </row>
    <row r="13" spans="1:11" x14ac:dyDescent="0.25">
      <c r="A13" s="120" t="s">
        <v>145</v>
      </c>
      <c r="B13" s="133">
        <v>1</v>
      </c>
      <c r="C13" s="133">
        <v>1</v>
      </c>
      <c r="D13" s="133">
        <v>585.3754383007323</v>
      </c>
      <c r="E13" s="133">
        <f>SQRT( (B13-B2)^2 + (C13-B3)^2 )</f>
        <v>7.0710678118654755</v>
      </c>
      <c r="F13" s="119">
        <f>SUM(I4:K4)-1</f>
        <v>0.22306534122828414</v>
      </c>
      <c r="G13" s="133">
        <f>MAX(0, 1000 -(B4*E13) -D13) / (1+B5*F13)</f>
        <v>150.8283105436584</v>
      </c>
      <c r="H13" s="129">
        <f>G13/SUM($G$12:$G$14)</f>
        <v>0.3375230509543084</v>
      </c>
      <c r="I13" s="133">
        <f>B7*B13^2 + B8*C13^2 + 2</f>
        <v>2.2000000000000002</v>
      </c>
      <c r="J13" s="123">
        <f>(D13-I13)*H13</f>
        <v>196.83515317687917</v>
      </c>
    </row>
    <row r="14" spans="1:11" x14ac:dyDescent="0.25">
      <c r="A14" s="127" t="s">
        <v>146</v>
      </c>
      <c r="B14" s="135">
        <v>5</v>
      </c>
      <c r="C14" s="135">
        <v>5</v>
      </c>
      <c r="D14" s="135">
        <v>590.96944553958451</v>
      </c>
      <c r="E14" s="135">
        <f>SQRT( (B14-B2)^2 + (C14-B3)^2 )</f>
        <v>1.4142135623730951</v>
      </c>
      <c r="F14" s="122">
        <f>SUM(I5:K5)-1</f>
        <v>0.27412044792163037</v>
      </c>
      <c r="G14" s="135">
        <f>MAX(0, 1000 -(B4*E14) -D14) / (1+B5*F14)</f>
        <v>138.19642971273942</v>
      </c>
      <c r="H14" s="130">
        <f>G14/SUM($G$12:$G$14)</f>
        <v>0.30925547345526255</v>
      </c>
      <c r="I14" s="135">
        <f>B7*B14^2 + B8*C14^2 + 2</f>
        <v>7</v>
      </c>
      <c r="J14" s="124">
        <f>(D14-I14)*H14</f>
        <v>180.59574736375137</v>
      </c>
    </row>
    <row r="15" spans="1:11" x14ac:dyDescent="0.25">
      <c r="A15" s="132"/>
      <c r="B15" s="134"/>
      <c r="C15" s="134"/>
      <c r="D15" s="134"/>
      <c r="E15" s="133"/>
      <c r="F15" s="133"/>
      <c r="G15" s="129"/>
      <c r="H15" s="133"/>
      <c r="I15" s="119"/>
    </row>
    <row r="16" spans="1:11" x14ac:dyDescent="0.25">
      <c r="B16" s="133"/>
      <c r="C16" s="133"/>
      <c r="D16" s="133"/>
      <c r="E16" s="133"/>
      <c r="F16" s="97"/>
      <c r="G16" s="97"/>
      <c r="H16" s="97"/>
    </row>
    <row r="17" spans="6:6" x14ac:dyDescent="0.25">
      <c r="F17" s="131"/>
    </row>
  </sheetData>
  <mergeCells count="4">
    <mergeCell ref="H1:K1"/>
    <mergeCell ref="A1:B1"/>
    <mergeCell ref="D1:G1"/>
    <mergeCell ref="A6:B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77" r:id="rId3" name="Button 65">
              <controlPr defaultSize="0" print="0" autoFill="0" autoPict="0" macro="[0]!Diferenciacion_H">
                <anchor moveWithCells="1" sizeWithCells="1">
                  <from>
                    <xdr:col>4</xdr:col>
                    <xdr:colOff>752475</xdr:colOff>
                    <xdr:row>14</xdr:row>
                    <xdr:rowOff>142875</xdr:rowOff>
                  </from>
                  <to>
                    <xdr:col>7</xdr:col>
                    <xdr:colOff>428625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292BD-0C8C-4CD9-86FC-444EA45EF7D6}">
  <sheetPr codeName="Hoja13">
    <tabColor rgb="FF0070C0"/>
  </sheetPr>
  <dimension ref="A1:Q23"/>
  <sheetViews>
    <sheetView showGridLines="0" showRowColHeaders="0" zoomScale="80" zoomScaleNormal="80" workbookViewId="0"/>
  </sheetViews>
  <sheetFormatPr baseColWidth="10" defaultRowHeight="15" x14ac:dyDescent="0.25"/>
  <cols>
    <col min="1" max="1" width="7.7109375" customWidth="1"/>
    <col min="2" max="7" width="14.7109375" customWidth="1"/>
    <col min="8" max="8" width="7.7109375" customWidth="1"/>
    <col min="9" max="9" width="22.7109375" customWidth="1"/>
    <col min="10" max="10" width="7.7109375" customWidth="1"/>
    <col min="11" max="16" width="14.7109375" customWidth="1"/>
    <col min="17" max="17" width="7.7109375" customWidth="1"/>
  </cols>
  <sheetData>
    <row r="1" spans="1:17" ht="15.95" customHeight="1" x14ac:dyDescent="0.25">
      <c r="A1" s="44"/>
      <c r="B1" s="233" t="s">
        <v>49</v>
      </c>
      <c r="C1" s="233"/>
      <c r="D1" s="233"/>
      <c r="E1" s="233"/>
      <c r="F1" s="233"/>
      <c r="G1" s="233"/>
      <c r="H1" s="44"/>
      <c r="J1" s="44"/>
      <c r="K1" s="233" t="s">
        <v>176</v>
      </c>
      <c r="L1" s="233"/>
      <c r="M1" s="233"/>
      <c r="N1" s="233"/>
      <c r="O1" s="233"/>
      <c r="P1" s="233"/>
      <c r="Q1" s="44"/>
    </row>
    <row r="2" spans="1:17" ht="15.95" customHeight="1" x14ac:dyDescent="0.25">
      <c r="A2" s="44"/>
      <c r="B2" s="100"/>
      <c r="C2" s="100"/>
      <c r="D2" s="101"/>
      <c r="E2" s="250" t="s">
        <v>165</v>
      </c>
      <c r="F2" s="251"/>
      <c r="G2" s="111">
        <v>1000</v>
      </c>
      <c r="H2" s="44"/>
      <c r="J2" s="44"/>
      <c r="K2" s="100"/>
      <c r="L2" s="100"/>
      <c r="M2" s="101"/>
      <c r="N2" s="250" t="s">
        <v>165</v>
      </c>
      <c r="O2" s="251"/>
      <c r="P2" s="111">
        <v>1000</v>
      </c>
      <c r="Q2" s="44"/>
    </row>
    <row r="3" spans="1:17" ht="15.95" customHeight="1" x14ac:dyDescent="0.25">
      <c r="A3" s="44"/>
      <c r="B3" s="101"/>
      <c r="C3" s="101"/>
      <c r="D3" s="101"/>
      <c r="E3" s="252" t="s">
        <v>169</v>
      </c>
      <c r="F3" s="253"/>
      <c r="G3" s="103">
        <v>3</v>
      </c>
      <c r="H3" s="44"/>
      <c r="J3" s="44"/>
      <c r="K3" s="101"/>
      <c r="L3" s="101"/>
      <c r="M3" s="101"/>
      <c r="N3" s="252" t="s">
        <v>169</v>
      </c>
      <c r="O3" s="253"/>
      <c r="P3" s="103">
        <v>1.5</v>
      </c>
      <c r="Q3" s="44"/>
    </row>
    <row r="4" spans="1:17" ht="15.95" customHeight="1" x14ac:dyDescent="0.25">
      <c r="A4" s="44"/>
      <c r="B4" s="100"/>
      <c r="C4" s="100"/>
      <c r="D4" s="101"/>
      <c r="E4" s="254" t="s">
        <v>168</v>
      </c>
      <c r="F4" s="255"/>
      <c r="G4" s="137">
        <v>1</v>
      </c>
      <c r="H4" s="44"/>
      <c r="J4" s="44"/>
      <c r="K4" s="100"/>
      <c r="L4" s="100"/>
      <c r="M4" s="101"/>
      <c r="N4" s="254" t="s">
        <v>168</v>
      </c>
      <c r="O4" s="255"/>
      <c r="P4" s="137">
        <v>0.5</v>
      </c>
      <c r="Q4" s="44"/>
    </row>
    <row r="5" spans="1:17" ht="15.95" customHeight="1" x14ac:dyDescent="0.25">
      <c r="A5" s="44"/>
      <c r="E5" s="252" t="s">
        <v>171</v>
      </c>
      <c r="F5" s="253"/>
      <c r="G5" s="103">
        <v>1.5</v>
      </c>
      <c r="H5" s="44"/>
      <c r="J5" s="44"/>
      <c r="N5" s="252" t="s">
        <v>171</v>
      </c>
      <c r="O5" s="253"/>
      <c r="P5" s="103">
        <v>1.5</v>
      </c>
      <c r="Q5" s="44"/>
    </row>
    <row r="6" spans="1:17" ht="15.95" customHeight="1" x14ac:dyDescent="0.25">
      <c r="A6" s="44"/>
      <c r="E6" s="254" t="s">
        <v>170</v>
      </c>
      <c r="F6" s="255"/>
      <c r="G6" s="137">
        <v>0.5</v>
      </c>
      <c r="H6" s="44"/>
      <c r="J6" s="44"/>
      <c r="N6" s="254" t="s">
        <v>170</v>
      </c>
      <c r="O6" s="255"/>
      <c r="P6" s="137">
        <v>1</v>
      </c>
      <c r="Q6" s="44"/>
    </row>
    <row r="7" spans="1:17" ht="15.95" customHeight="1" x14ac:dyDescent="0.25">
      <c r="A7" s="44"/>
      <c r="E7" s="252" t="s">
        <v>175</v>
      </c>
      <c r="F7" s="253"/>
      <c r="G7" s="103">
        <v>4</v>
      </c>
      <c r="H7" s="44"/>
      <c r="J7" s="44"/>
      <c r="N7" s="252" t="s">
        <v>166</v>
      </c>
      <c r="O7" s="253"/>
      <c r="P7" s="103">
        <v>1</v>
      </c>
      <c r="Q7" s="44"/>
    </row>
    <row r="8" spans="1:17" ht="15.95" customHeight="1" x14ac:dyDescent="0.25">
      <c r="A8" s="44"/>
      <c r="E8" s="252" t="s">
        <v>166</v>
      </c>
      <c r="F8" s="253"/>
      <c r="G8" s="103">
        <v>3</v>
      </c>
      <c r="H8" s="44"/>
      <c r="J8" s="44"/>
      <c r="N8" s="252" t="s">
        <v>167</v>
      </c>
      <c r="O8" s="253"/>
      <c r="P8" s="113">
        <v>3</v>
      </c>
      <c r="Q8" s="44"/>
    </row>
    <row r="9" spans="1:17" ht="15.95" customHeight="1" x14ac:dyDescent="0.25">
      <c r="A9" s="44"/>
      <c r="E9" s="252" t="s">
        <v>167</v>
      </c>
      <c r="F9" s="253"/>
      <c r="G9" s="113">
        <v>2</v>
      </c>
      <c r="H9" s="44"/>
      <c r="J9" s="44"/>
      <c r="N9" s="252" t="s">
        <v>179</v>
      </c>
      <c r="O9" s="253"/>
      <c r="P9" s="103">
        <v>5</v>
      </c>
      <c r="Q9" s="44"/>
    </row>
    <row r="10" spans="1:17" ht="15.95" customHeight="1" thickBot="1" x14ac:dyDescent="0.3">
      <c r="A10" s="44"/>
      <c r="B10" s="138"/>
      <c r="C10" s="138"/>
      <c r="D10" s="138"/>
      <c r="E10" s="138"/>
      <c r="F10" s="138"/>
      <c r="G10" s="139"/>
      <c r="H10" s="44"/>
      <c r="J10" s="44"/>
      <c r="N10" s="256" t="s">
        <v>180</v>
      </c>
      <c r="O10" s="257"/>
      <c r="P10" s="113">
        <v>4</v>
      </c>
      <c r="Q10" s="44"/>
    </row>
    <row r="11" spans="1:17" ht="15.95" customHeight="1" thickTop="1" thickBot="1" x14ac:dyDescent="0.3">
      <c r="A11" s="44"/>
      <c r="H11" s="44"/>
      <c r="J11" s="44"/>
      <c r="K11" s="138"/>
      <c r="L11" s="138"/>
      <c r="M11" s="138"/>
      <c r="N11" s="138"/>
      <c r="O11" s="138"/>
      <c r="P11" s="139"/>
      <c r="Q11" s="44"/>
    </row>
    <row r="12" spans="1:17" ht="15.95" customHeight="1" thickTop="1" x14ac:dyDescent="0.25">
      <c r="A12" s="44"/>
      <c r="C12" s="133" t="s">
        <v>38</v>
      </c>
      <c r="D12" s="118" t="s">
        <v>164</v>
      </c>
      <c r="E12" s="133" t="s">
        <v>155</v>
      </c>
      <c r="F12" s="118" t="s">
        <v>174</v>
      </c>
      <c r="G12" s="118" t="s">
        <v>142</v>
      </c>
      <c r="H12" s="44"/>
      <c r="J12" s="44"/>
      <c r="Q12" s="44"/>
    </row>
    <row r="13" spans="1:17" ht="15.95" customHeight="1" x14ac:dyDescent="0.25">
      <c r="A13" s="44"/>
      <c r="B13" s="99" t="s">
        <v>177</v>
      </c>
      <c r="C13" s="140">
        <v>4.4999999886881135</v>
      </c>
      <c r="D13" s="101">
        <v>1</v>
      </c>
      <c r="E13" s="140">
        <f>G8*(D13^G9)</f>
        <v>3</v>
      </c>
      <c r="F13" s="142">
        <f>G2 * (C13^(-G3)) * (C14^(G4*(G7-1))) * (D13^G5) * (D14^(-G6*(G7-1)))</f>
        <v>1371.7421228275139</v>
      </c>
      <c r="G13" s="143">
        <f xml:space="preserve"> (C13-E13) * F13</f>
        <v>2057.6131687242796</v>
      </c>
      <c r="H13" s="44"/>
      <c r="J13" s="44"/>
      <c r="L13" s="133" t="s">
        <v>38</v>
      </c>
      <c r="M13" s="118" t="s">
        <v>164</v>
      </c>
      <c r="N13" s="133" t="s">
        <v>155</v>
      </c>
      <c r="O13" s="118" t="s">
        <v>174</v>
      </c>
      <c r="P13" s="118" t="s">
        <v>142</v>
      </c>
      <c r="Q13" s="44"/>
    </row>
    <row r="14" spans="1:17" ht="15.95" customHeight="1" x14ac:dyDescent="0.25">
      <c r="A14" s="44"/>
      <c r="B14" s="99" t="s">
        <v>178</v>
      </c>
      <c r="C14" s="140">
        <v>5</v>
      </c>
      <c r="D14" s="101">
        <f>D13</f>
        <v>1</v>
      </c>
      <c r="E14" s="140">
        <f>G8*(D14^G9)</f>
        <v>3</v>
      </c>
      <c r="F14" s="142">
        <f>G2 * (C14^(-G3)) * (C13^(G4*(G7-1))) * (D14^G5) * (D13^(-G6*(G7-1)))</f>
        <v>728.99999450242319</v>
      </c>
      <c r="G14" s="143">
        <f>(C14-E14) * F14</f>
        <v>1457.9999890048464</v>
      </c>
      <c r="H14" s="44"/>
      <c r="J14" s="44"/>
      <c r="K14" s="99" t="s">
        <v>172</v>
      </c>
      <c r="L14" s="143">
        <v>10.231066500610963</v>
      </c>
      <c r="M14" s="141">
        <v>1.5052196548986436</v>
      </c>
      <c r="N14" s="140">
        <f>P7*(M14^P8)</f>
        <v>3.4103554143619581</v>
      </c>
      <c r="O14" s="119">
        <f>P2 * (L14^(-P3)) * (L15^P4) * (M14^P5) * (M15^(-P6))</f>
        <v>218.55668232482518</v>
      </c>
      <c r="P14" s="141">
        <f xml:space="preserve"> (L14-N14) * O14</f>
        <v>1490.711986106737</v>
      </c>
      <c r="Q14" s="44"/>
    </row>
    <row r="15" spans="1:17" ht="15.95" customHeight="1" x14ac:dyDescent="0.25">
      <c r="A15" s="44"/>
      <c r="D15" s="96"/>
      <c r="E15" s="96"/>
      <c r="H15" s="44"/>
      <c r="J15" s="44"/>
      <c r="K15" s="99" t="s">
        <v>173</v>
      </c>
      <c r="L15" s="140">
        <v>15.000000022275472</v>
      </c>
      <c r="M15" s="101">
        <v>1</v>
      </c>
      <c r="N15" s="140">
        <f>P9*(M15^P10)</f>
        <v>5</v>
      </c>
      <c r="O15" s="119">
        <f>P2*(L15^(-P3))*(L14^P4)*(M15^P5)*(M14^(-P6))</f>
        <v>36.578313989217065</v>
      </c>
      <c r="P15" s="141">
        <f>(L15-N15) * O15</f>
        <v>365.78314070696985</v>
      </c>
      <c r="Q15" s="44"/>
    </row>
    <row r="16" spans="1:17" ht="15.95" customHeight="1" x14ac:dyDescent="0.25">
      <c r="A16" s="44"/>
      <c r="B16" s="44"/>
      <c r="C16" s="44"/>
      <c r="D16" s="44"/>
      <c r="E16" s="44"/>
      <c r="F16" s="44"/>
      <c r="G16" s="44"/>
      <c r="H16" s="44"/>
      <c r="J16" s="44"/>
      <c r="M16" s="96"/>
      <c r="N16" s="96"/>
      <c r="Q16" s="44"/>
    </row>
    <row r="17" spans="10:17" ht="15.95" customHeight="1" x14ac:dyDescent="0.25">
      <c r="J17" s="44"/>
      <c r="K17" s="44"/>
      <c r="L17" s="44"/>
      <c r="M17" s="44"/>
      <c r="N17" s="44"/>
      <c r="O17" s="44"/>
      <c r="P17" s="44"/>
      <c r="Q17" s="44"/>
    </row>
    <row r="18" spans="10:17" ht="15.95" customHeight="1" x14ac:dyDescent="0.25"/>
    <row r="19" spans="10:17" ht="15.95" customHeight="1" x14ac:dyDescent="0.25"/>
    <row r="20" spans="10:17" ht="15.95" customHeight="1" x14ac:dyDescent="0.25"/>
    <row r="21" spans="10:17" ht="15.95" customHeight="1" x14ac:dyDescent="0.25"/>
    <row r="22" spans="10:17" ht="15.95" customHeight="1" x14ac:dyDescent="0.25"/>
    <row r="23" spans="10:17" ht="15.95" customHeight="1" x14ac:dyDescent="0.25"/>
  </sheetData>
  <mergeCells count="19">
    <mergeCell ref="N5:O5"/>
    <mergeCell ref="E5:F5"/>
    <mergeCell ref="E6:F6"/>
    <mergeCell ref="E8:F8"/>
    <mergeCell ref="N10:O10"/>
    <mergeCell ref="E9:F9"/>
    <mergeCell ref="E7:F7"/>
    <mergeCell ref="N6:O6"/>
    <mergeCell ref="N7:O7"/>
    <mergeCell ref="N8:O8"/>
    <mergeCell ref="N9:O9"/>
    <mergeCell ref="E2:F2"/>
    <mergeCell ref="B1:G1"/>
    <mergeCell ref="E3:F3"/>
    <mergeCell ref="E4:F4"/>
    <mergeCell ref="K1:P1"/>
    <mergeCell ref="N2:O2"/>
    <mergeCell ref="N3:O3"/>
    <mergeCell ref="N4:O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8" r:id="rId3" name="Button 4">
              <controlPr defaultSize="0" print="0" autoFill="0" autoPict="0" macro="[0]!Diferenciacion_V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8</xdr:col>
                    <xdr:colOff>1485900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F43F3-5873-4E39-AEAD-A29EC6C29618}">
  <sheetPr codeName="Hoja10">
    <tabColor rgb="FF0070C0"/>
  </sheetPr>
  <dimension ref="A1:N22"/>
  <sheetViews>
    <sheetView showGridLines="0" showRowColHeaders="0" zoomScale="80" zoomScaleNormal="80" workbookViewId="0"/>
  </sheetViews>
  <sheetFormatPr baseColWidth="10" defaultRowHeight="15" x14ac:dyDescent="0.25"/>
  <cols>
    <col min="1" max="1" width="7.7109375" customWidth="1"/>
    <col min="2" max="3" width="21.7109375" customWidth="1"/>
    <col min="4" max="5" width="12.7109375" customWidth="1"/>
    <col min="6" max="6" width="7.7109375" customWidth="1"/>
    <col min="7" max="7" width="22.7109375" customWidth="1"/>
    <col min="8" max="8" width="7.7109375" customWidth="1"/>
    <col min="9" max="10" width="19.7109375" customWidth="1"/>
    <col min="11" max="11" width="22.7109375" customWidth="1"/>
    <col min="12" max="13" width="12.7109375" customWidth="1"/>
    <col min="14" max="14" width="7.7109375" customWidth="1"/>
  </cols>
  <sheetData>
    <row r="1" spans="1:14" x14ac:dyDescent="0.25">
      <c r="A1" s="2"/>
      <c r="B1" s="236" t="s">
        <v>5</v>
      </c>
      <c r="C1" s="236"/>
      <c r="D1" s="236"/>
      <c r="E1" s="236"/>
      <c r="F1" s="2"/>
      <c r="H1" s="44"/>
      <c r="I1" s="233" t="s">
        <v>215</v>
      </c>
      <c r="J1" s="233"/>
      <c r="K1" s="233"/>
      <c r="L1" s="233"/>
      <c r="M1" s="233"/>
      <c r="N1" s="44"/>
    </row>
    <row r="2" spans="1:14" x14ac:dyDescent="0.25">
      <c r="A2" s="2"/>
      <c r="B2" s="100"/>
      <c r="D2" s="118" t="s">
        <v>208</v>
      </c>
      <c r="E2" s="118" t="s">
        <v>209</v>
      </c>
      <c r="F2" s="2"/>
      <c r="H2" s="44"/>
      <c r="I2" s="100"/>
      <c r="J2" s="100"/>
      <c r="L2" s="118" t="s">
        <v>208</v>
      </c>
      <c r="M2" s="118" t="s">
        <v>209</v>
      </c>
      <c r="N2" s="44"/>
    </row>
    <row r="3" spans="1:14" x14ac:dyDescent="0.25">
      <c r="A3" s="2"/>
      <c r="B3" s="101"/>
      <c r="C3" s="110" t="s">
        <v>212</v>
      </c>
      <c r="D3" s="176">
        <v>1000</v>
      </c>
      <c r="E3" s="177">
        <v>1000</v>
      </c>
      <c r="F3" s="2"/>
      <c r="H3" s="44"/>
      <c r="I3" s="101"/>
      <c r="J3" s="101"/>
      <c r="K3" s="102" t="s">
        <v>212</v>
      </c>
      <c r="L3" s="176">
        <v>1000</v>
      </c>
      <c r="M3" s="177">
        <v>1000</v>
      </c>
      <c r="N3" s="44"/>
    </row>
    <row r="4" spans="1:14" x14ac:dyDescent="0.25">
      <c r="A4" s="2"/>
      <c r="B4" s="100"/>
      <c r="C4" s="102" t="s">
        <v>211</v>
      </c>
      <c r="D4" s="174">
        <v>2.5</v>
      </c>
      <c r="E4" s="175">
        <v>1.5</v>
      </c>
      <c r="F4" s="2"/>
      <c r="H4" s="44"/>
      <c r="I4" s="100"/>
      <c r="J4" s="100"/>
      <c r="K4" s="173" t="s">
        <v>220</v>
      </c>
      <c r="L4" s="176">
        <v>0.4</v>
      </c>
      <c r="M4" s="177">
        <v>0.6</v>
      </c>
      <c r="N4" s="44"/>
    </row>
    <row r="5" spans="1:14" x14ac:dyDescent="0.25">
      <c r="A5" s="2"/>
      <c r="C5" s="173" t="s">
        <v>210</v>
      </c>
      <c r="D5" s="118">
        <v>0.4</v>
      </c>
      <c r="E5" s="121">
        <v>0.6</v>
      </c>
      <c r="F5" s="2"/>
      <c r="H5" s="44"/>
      <c r="K5" s="102" t="s">
        <v>221</v>
      </c>
      <c r="L5" s="174">
        <v>0.4</v>
      </c>
      <c r="M5" s="175">
        <v>0.6</v>
      </c>
      <c r="N5" s="44"/>
    </row>
    <row r="6" spans="1:14" x14ac:dyDescent="0.25">
      <c r="A6" s="2"/>
      <c r="C6" s="102" t="s">
        <v>213</v>
      </c>
      <c r="D6" s="174">
        <v>2</v>
      </c>
      <c r="E6" s="175">
        <v>1</v>
      </c>
      <c r="F6" s="2"/>
      <c r="H6" s="44"/>
      <c r="K6" s="112" t="s">
        <v>216</v>
      </c>
      <c r="L6" s="118">
        <v>3</v>
      </c>
      <c r="M6" s="121">
        <v>5</v>
      </c>
      <c r="N6" s="44"/>
    </row>
    <row r="7" spans="1:14" x14ac:dyDescent="0.25">
      <c r="A7" s="2"/>
      <c r="C7" s="112" t="s">
        <v>105</v>
      </c>
      <c r="D7" s="178">
        <v>0.21</v>
      </c>
      <c r="E7" s="179">
        <v>0</v>
      </c>
      <c r="F7" s="2"/>
      <c r="H7" s="44"/>
      <c r="K7" s="102" t="s">
        <v>218</v>
      </c>
      <c r="L7" s="174">
        <v>2</v>
      </c>
      <c r="M7" s="175">
        <v>1</v>
      </c>
      <c r="N7" s="44"/>
    </row>
    <row r="8" spans="1:14" ht="15.75" thickBot="1" x14ac:dyDescent="0.3">
      <c r="A8" s="2"/>
      <c r="B8" s="138"/>
      <c r="C8" s="138"/>
      <c r="D8" s="138"/>
      <c r="E8" s="172"/>
      <c r="F8" s="2"/>
      <c r="H8" s="44"/>
      <c r="K8" s="102" t="s">
        <v>219</v>
      </c>
      <c r="L8" s="118">
        <v>2</v>
      </c>
      <c r="M8" s="175">
        <v>1</v>
      </c>
      <c r="N8" s="44"/>
    </row>
    <row r="9" spans="1:14" ht="15.75" thickTop="1" x14ac:dyDescent="0.25">
      <c r="A9" s="2"/>
      <c r="F9" s="2"/>
      <c r="H9" s="44"/>
      <c r="K9" s="112" t="s">
        <v>105</v>
      </c>
      <c r="L9" s="183">
        <v>0.21</v>
      </c>
      <c r="M9" s="182">
        <v>0</v>
      </c>
      <c r="N9" s="44"/>
    </row>
    <row r="10" spans="1:14" x14ac:dyDescent="0.25">
      <c r="A10" s="2"/>
      <c r="B10" s="187"/>
      <c r="C10" s="185" t="s">
        <v>208</v>
      </c>
      <c r="D10" s="186" t="s">
        <v>209</v>
      </c>
      <c r="F10" s="2"/>
      <c r="H10" s="44"/>
      <c r="L10" s="99"/>
      <c r="M10" s="159"/>
      <c r="N10" s="44"/>
    </row>
    <row r="11" spans="1:14" ht="15.75" thickBot="1" x14ac:dyDescent="0.3">
      <c r="A11" s="2"/>
      <c r="B11" s="99" t="s">
        <v>38</v>
      </c>
      <c r="C11" s="191">
        <v>1</v>
      </c>
      <c r="D11" s="140">
        <v>2.4800222040813269</v>
      </c>
      <c r="F11" s="2"/>
      <c r="H11" s="44"/>
      <c r="I11" s="172"/>
      <c r="J11" s="172"/>
      <c r="K11" s="172"/>
      <c r="L11" s="172"/>
      <c r="M11" s="172"/>
      <c r="N11" s="44"/>
    </row>
    <row r="12" spans="1:14" ht="15.75" thickTop="1" x14ac:dyDescent="0.25">
      <c r="A12" s="2"/>
      <c r="B12" s="99" t="s">
        <v>40</v>
      </c>
      <c r="C12" s="191">
        <f ca="1">D3 * (C11^(-D4)) * (MAX(D12,1)^D5)</f>
        <v>164022.52680994262</v>
      </c>
      <c r="D12" s="140">
        <f ca="1">E3 * (D11^(-E4)) * (MAX(C12,1)^E5)</f>
        <v>344555.14957462682</v>
      </c>
      <c r="F12" s="2"/>
      <c r="H12" s="44"/>
      <c r="N12" s="44"/>
    </row>
    <row r="13" spans="1:14" x14ac:dyDescent="0.25">
      <c r="A13" s="2"/>
      <c r="B13" s="99" t="s">
        <v>39</v>
      </c>
      <c r="C13" s="191">
        <f ca="1">(C11/(1+D7) - D6) * C12</f>
        <v>-192489.24633894092</v>
      </c>
      <c r="D13" s="140">
        <f ca="1">(D11-E6)*D12</f>
        <v>509949.27190101048</v>
      </c>
      <c r="F13" s="2"/>
      <c r="H13" s="44"/>
      <c r="I13" s="190"/>
      <c r="J13" s="260" t="s">
        <v>172</v>
      </c>
      <c r="K13" s="261"/>
      <c r="L13" s="260" t="s">
        <v>173</v>
      </c>
      <c r="M13" s="261"/>
      <c r="N13" s="44"/>
    </row>
    <row r="14" spans="1:14" x14ac:dyDescent="0.25">
      <c r="A14" s="2"/>
      <c r="B14" s="99" t="s">
        <v>214</v>
      </c>
      <c r="C14" s="258">
        <f ca="1">C13+D13</f>
        <v>317460.02556206955</v>
      </c>
      <c r="D14" s="241"/>
      <c r="E14" s="180"/>
      <c r="F14" s="2"/>
      <c r="H14" s="44"/>
      <c r="J14" s="184" t="s">
        <v>208</v>
      </c>
      <c r="K14" s="188" t="s">
        <v>209</v>
      </c>
      <c r="L14" s="184" t="s">
        <v>208</v>
      </c>
      <c r="M14" s="188" t="s">
        <v>209</v>
      </c>
      <c r="N14" s="44"/>
    </row>
    <row r="15" spans="1:14" x14ac:dyDescent="0.25">
      <c r="A15" s="2"/>
      <c r="F15" s="2"/>
      <c r="H15" s="44"/>
      <c r="I15" s="99" t="s">
        <v>38</v>
      </c>
      <c r="J15" s="191">
        <v>4.6953200597887585</v>
      </c>
      <c r="K15" s="189">
        <v>5.6670430979573743</v>
      </c>
      <c r="L15" s="191">
        <v>4.6948301205212077</v>
      </c>
      <c r="M15" s="189">
        <v>5.6681316804962938</v>
      </c>
      <c r="N15" s="44"/>
    </row>
    <row r="16" spans="1:14" ht="15.75" thickBot="1" x14ac:dyDescent="0.3">
      <c r="A16" s="2"/>
      <c r="B16" s="239" t="s">
        <v>26</v>
      </c>
      <c r="C16" s="239"/>
      <c r="D16" s="239"/>
      <c r="E16" s="239"/>
      <c r="F16" s="2"/>
      <c r="H16" s="44"/>
      <c r="I16" s="99" t="s">
        <v>217</v>
      </c>
      <c r="J16" s="195">
        <f ca="1">0.5 + ( ((L15-J15)+L4*(K16-M16)) / (2*L6) )</f>
        <v>0.49993176614762241</v>
      </c>
      <c r="K16" s="193">
        <f ca="1">0.5 + ( ((M15-K15)+M4*(J16-L16)) / (2*M6) )</f>
        <v>0.50010067019160664</v>
      </c>
      <c r="L16" s="194">
        <f ca="1">0.5 + ( ((J15-L15)+L5*(M16-K16)) / (2*L6) )</f>
        <v>0.50006823385237753</v>
      </c>
      <c r="M16" s="193">
        <f ca="1">0.5 + ( ((K15-M15)+M5*(L16-J16)) / (2*M6) )</f>
        <v>0.49989932980839336</v>
      </c>
      <c r="N16" s="44"/>
    </row>
    <row r="17" spans="1:14" ht="15.75" thickTop="1" x14ac:dyDescent="0.25">
      <c r="A17" s="2"/>
      <c r="B17" s="99" t="s">
        <v>191</v>
      </c>
      <c r="C17" s="181">
        <f xml:space="preserve"> ( C11/(1+D7) - D6) / (C11/(1+D7))</f>
        <v>-1.4200000000000002</v>
      </c>
      <c r="D17" s="181">
        <f xml:space="preserve"> ( D11/(1+E7) - E6) / (D11/(1+E7))</f>
        <v>0.59677780370098366</v>
      </c>
      <c r="F17" s="2"/>
      <c r="H17" s="44"/>
      <c r="I17" s="99" t="s">
        <v>39</v>
      </c>
      <c r="J17" s="191">
        <f ca="1">(J15*J16*L3)/(1+L9) - (L7*J16*L3)</f>
        <v>940.08659176967581</v>
      </c>
      <c r="K17" s="189">
        <f ca="1">(K15*K16*M3)/(1+M9) - (M7*K16*M3)</f>
        <v>2333.9913811015949</v>
      </c>
      <c r="L17" s="191">
        <f ca="1">(L15*L16*L3)/(1+L9) - (L8*L16*L3)</f>
        <v>940.14072783738141</v>
      </c>
      <c r="M17" s="189">
        <f ca="1">(M15*M16*M3)/(1+M9) - (M8*M16*M3)</f>
        <v>2333.5958985374264</v>
      </c>
      <c r="N17" s="44"/>
    </row>
    <row r="18" spans="1:14" x14ac:dyDescent="0.25">
      <c r="A18" s="2"/>
      <c r="B18" s="2"/>
      <c r="C18" s="2"/>
      <c r="D18" s="2"/>
      <c r="E18" s="2"/>
      <c r="F18" s="2"/>
      <c r="H18" s="44"/>
      <c r="I18" s="99" t="s">
        <v>214</v>
      </c>
      <c r="J18" s="258">
        <f ca="1">J17+K17</f>
        <v>3274.0779728712705</v>
      </c>
      <c r="K18" s="259"/>
      <c r="L18" s="258">
        <f ca="1">L17+M17</f>
        <v>3273.7366263748077</v>
      </c>
      <c r="M18" s="259"/>
      <c r="N18" s="44"/>
    </row>
    <row r="19" spans="1:14" x14ac:dyDescent="0.25">
      <c r="H19" s="44"/>
      <c r="N19" s="44"/>
    </row>
    <row r="20" spans="1:14" ht="15.75" thickBot="1" x14ac:dyDescent="0.3">
      <c r="H20" s="44"/>
      <c r="I20" s="239" t="s">
        <v>26</v>
      </c>
      <c r="J20" s="239"/>
      <c r="K20" s="239"/>
      <c r="L20" s="239"/>
      <c r="M20" s="239"/>
      <c r="N20" s="44"/>
    </row>
    <row r="21" spans="1:14" ht="15.75" thickTop="1" x14ac:dyDescent="0.25">
      <c r="H21" s="44"/>
      <c r="I21" s="99" t="s">
        <v>191</v>
      </c>
      <c r="J21" s="192">
        <f xml:space="preserve"> (J15/(1+L9)-L7) / (J15/(1+L9))</f>
        <v>0.48459317593167966</v>
      </c>
      <c r="K21" s="192">
        <f xml:space="preserve"> (K15/(1+M9)-M7) / (K15/(1+M9))</f>
        <v>0.82354113375978388</v>
      </c>
      <c r="L21" s="192">
        <f xml:space="preserve"> (L15/(1+L9)-L7) / (L15/(1+L9))</f>
        <v>0.48453938952505954</v>
      </c>
      <c r="M21" s="192">
        <f xml:space="preserve"> (M15/(1+M9)-M7) / (M15/(1+M9))</f>
        <v>0.82357502324073717</v>
      </c>
      <c r="N21" s="44"/>
    </row>
    <row r="22" spans="1:14" x14ac:dyDescent="0.25">
      <c r="H22" s="44"/>
      <c r="I22" s="44"/>
      <c r="J22" s="44"/>
      <c r="K22" s="44"/>
      <c r="L22" s="44"/>
      <c r="M22" s="44"/>
      <c r="N22" s="44"/>
    </row>
  </sheetData>
  <mergeCells count="9">
    <mergeCell ref="I1:M1"/>
    <mergeCell ref="B16:E16"/>
    <mergeCell ref="B1:E1"/>
    <mergeCell ref="C14:D14"/>
    <mergeCell ref="I20:M20"/>
    <mergeCell ref="J18:K18"/>
    <mergeCell ref="L18:M18"/>
    <mergeCell ref="J13:K13"/>
    <mergeCell ref="L13:M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57" r:id="rId3" name="Button 21">
              <controlPr defaultSize="0" print="0" autoFill="0" autoPict="0" macro="[0]!Plataformas">
                <anchor moveWithCells="1" sizeWithCells="1">
                  <from>
                    <xdr:col>6</xdr:col>
                    <xdr:colOff>57150</xdr:colOff>
                    <xdr:row>0</xdr:row>
                    <xdr:rowOff>9525</xdr:rowOff>
                  </from>
                  <to>
                    <xdr:col>6</xdr:col>
                    <xdr:colOff>1485900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7E564-F398-4F60-B564-AF98FA8F1955}">
  <sheetPr codeName="Hoja17">
    <tabColor rgb="FF0070C0"/>
  </sheetPr>
  <dimension ref="A1:N22"/>
  <sheetViews>
    <sheetView showGridLines="0" showRowColHeaders="0" zoomScale="90" zoomScaleNormal="90" workbookViewId="0"/>
  </sheetViews>
  <sheetFormatPr baseColWidth="10" defaultRowHeight="15" x14ac:dyDescent="0.25"/>
  <cols>
    <col min="1" max="1" width="7.7109375" customWidth="1"/>
    <col min="2" max="5" width="14.7109375" customWidth="1"/>
    <col min="6" max="8" width="7.7109375" customWidth="1"/>
    <col min="9" max="12" width="13.7109375" customWidth="1"/>
    <col min="13" max="13" width="7.7109375" customWidth="1"/>
  </cols>
  <sheetData>
    <row r="1" spans="1:14" x14ac:dyDescent="0.25">
      <c r="A1" s="44"/>
      <c r="B1" s="233" t="s">
        <v>49</v>
      </c>
      <c r="C1" s="233"/>
      <c r="D1" s="233"/>
      <c r="E1" s="233"/>
      <c r="F1" s="44"/>
      <c r="H1" s="44"/>
      <c r="I1" s="233" t="s">
        <v>241</v>
      </c>
      <c r="J1" s="233"/>
      <c r="K1" s="233"/>
      <c r="L1" s="233"/>
      <c r="M1" s="44"/>
    </row>
    <row r="2" spans="1:14" x14ac:dyDescent="0.25">
      <c r="A2" s="44"/>
      <c r="B2" s="100"/>
      <c r="C2" s="101"/>
      <c r="D2" s="104" t="s">
        <v>28</v>
      </c>
      <c r="E2" s="105">
        <v>100000</v>
      </c>
      <c r="F2" s="44"/>
      <c r="H2" s="44"/>
      <c r="J2" s="118" t="s">
        <v>224</v>
      </c>
      <c r="K2" s="118" t="s">
        <v>237</v>
      </c>
      <c r="L2" s="118" t="s">
        <v>238</v>
      </c>
      <c r="M2" s="44"/>
    </row>
    <row r="3" spans="1:14" x14ac:dyDescent="0.25">
      <c r="A3" s="44"/>
      <c r="B3" s="101"/>
      <c r="C3" s="101"/>
      <c r="D3" s="144" t="s">
        <v>29</v>
      </c>
      <c r="E3" s="107">
        <v>2</v>
      </c>
      <c r="F3" s="44"/>
      <c r="H3" s="44"/>
      <c r="I3" s="99" t="s">
        <v>239</v>
      </c>
      <c r="J3" s="141">
        <v>8.5504614338314161E-2</v>
      </c>
      <c r="K3" s="141">
        <v>0.4749999967695136</v>
      </c>
      <c r="L3" s="141">
        <v>7.8999999999999879</v>
      </c>
      <c r="M3" s="44"/>
    </row>
    <row r="4" spans="1:14" x14ac:dyDescent="0.25">
      <c r="A4" s="44"/>
      <c r="B4" s="100"/>
      <c r="C4" s="101"/>
      <c r="D4" s="106" t="s">
        <v>13</v>
      </c>
      <c r="E4" s="107">
        <v>20</v>
      </c>
      <c r="F4" s="44"/>
      <c r="H4" s="44"/>
      <c r="I4" s="99" t="s">
        <v>240</v>
      </c>
      <c r="J4" s="140">
        <v>17.10092284231715</v>
      </c>
      <c r="K4" s="140">
        <v>95</v>
      </c>
      <c r="L4" s="140">
        <v>92492.833831019452</v>
      </c>
      <c r="M4" s="44"/>
    </row>
    <row r="5" spans="1:14" x14ac:dyDescent="0.25">
      <c r="A5" s="44"/>
      <c r="D5" s="146" t="s">
        <v>222</v>
      </c>
      <c r="E5" s="197">
        <v>200</v>
      </c>
      <c r="F5" s="44"/>
      <c r="H5" s="44"/>
      <c r="I5" s="99" t="s">
        <v>38</v>
      </c>
      <c r="J5" s="140">
        <v>38.234923939545084</v>
      </c>
      <c r="K5" s="140">
        <v>24.539308485329592</v>
      </c>
      <c r="L5" s="140">
        <v>0.51989538399293</v>
      </c>
      <c r="M5" s="44"/>
    </row>
    <row r="6" spans="1:14" x14ac:dyDescent="0.25">
      <c r="A6" s="44"/>
      <c r="D6" s="144" t="s">
        <v>223</v>
      </c>
      <c r="E6" s="107">
        <v>0.5</v>
      </c>
      <c r="F6" s="44"/>
      <c r="H6" s="44"/>
      <c r="I6" s="99" t="s">
        <v>142</v>
      </c>
      <c r="J6" s="140">
        <v>314.75844294952202</v>
      </c>
      <c r="K6" s="140">
        <v>487.5521815768538</v>
      </c>
      <c r="L6" s="140">
        <v>18722.388903414489</v>
      </c>
      <c r="M6" s="44"/>
    </row>
    <row r="7" spans="1:14" x14ac:dyDescent="0.25">
      <c r="A7" s="44"/>
      <c r="D7" s="102" t="s">
        <v>46</v>
      </c>
      <c r="E7" s="103">
        <v>4</v>
      </c>
      <c r="F7" s="196"/>
      <c r="H7" s="44"/>
      <c r="I7" s="44"/>
      <c r="J7" s="44"/>
      <c r="K7" s="44"/>
      <c r="L7" s="44"/>
      <c r="M7" s="44"/>
    </row>
    <row r="8" spans="1:14" ht="15.75" thickBot="1" x14ac:dyDescent="0.3">
      <c r="A8" s="44"/>
      <c r="B8" s="138"/>
      <c r="C8" s="138"/>
      <c r="D8" s="138"/>
      <c r="E8" s="138"/>
      <c r="F8" s="44"/>
    </row>
    <row r="9" spans="1:14" ht="15.75" thickTop="1" x14ac:dyDescent="0.25">
      <c r="A9" s="44"/>
      <c r="C9" s="101" t="s">
        <v>225</v>
      </c>
      <c r="D9" s="101" t="s">
        <v>226</v>
      </c>
      <c r="F9" s="44"/>
    </row>
    <row r="10" spans="1:14" x14ac:dyDescent="0.25">
      <c r="A10" s="44"/>
      <c r="B10" s="198" t="s">
        <v>227</v>
      </c>
      <c r="C10" s="119">
        <v>7.8999999999999879</v>
      </c>
      <c r="D10" s="119">
        <v>7.8999999999999879</v>
      </c>
      <c r="E10" s="96"/>
      <c r="F10" s="44"/>
      <c r="I10" s="118"/>
      <c r="J10" s="118"/>
      <c r="K10" s="118"/>
      <c r="M10" s="133"/>
      <c r="N10" s="133"/>
    </row>
    <row r="11" spans="1:14" x14ac:dyDescent="0.25">
      <c r="A11" s="44"/>
      <c r="B11" s="198" t="s">
        <v>228</v>
      </c>
      <c r="C11" s="133">
        <v>92492.833831019452</v>
      </c>
      <c r="D11" s="133">
        <v>92492.833831019452</v>
      </c>
      <c r="E11" s="96"/>
      <c r="F11" s="44"/>
      <c r="I11" s="133"/>
      <c r="J11" s="133"/>
      <c r="K11" s="133"/>
      <c r="M11" s="133"/>
      <c r="N11" s="133"/>
    </row>
    <row r="12" spans="1:14" x14ac:dyDescent="0.25">
      <c r="A12" s="44"/>
      <c r="B12" s="99" t="s">
        <v>231</v>
      </c>
      <c r="C12" s="133">
        <f>MAX(0.01, E4 - C10 - E6*D10*(E7-1))</f>
        <v>0.2500000000000302</v>
      </c>
      <c r="D12" s="133">
        <f>MAX(0.01, E4 - D10 - E6*D10*(E7-2) - E6*C10)</f>
        <v>0.2500000000000302</v>
      </c>
      <c r="E12" s="96"/>
      <c r="F12" s="44"/>
      <c r="I12" s="133"/>
      <c r="J12" s="133"/>
      <c r="K12" s="133"/>
    </row>
    <row r="13" spans="1:14" x14ac:dyDescent="0.25">
      <c r="A13" s="44"/>
      <c r="B13" s="99" t="s">
        <v>229</v>
      </c>
      <c r="C13" s="133">
        <f>(E5*C10^2)/2</f>
        <v>6240.9999999999809</v>
      </c>
      <c r="D13" s="133">
        <f>(E5*D10^2)/2</f>
        <v>6240.9999999999809</v>
      </c>
      <c r="F13" s="44"/>
      <c r="I13" s="133"/>
      <c r="J13" s="133"/>
      <c r="K13" s="133"/>
    </row>
    <row r="14" spans="1:14" x14ac:dyDescent="0.25">
      <c r="A14" s="44"/>
      <c r="B14" s="99" t="s">
        <v>230</v>
      </c>
      <c r="C14" s="133">
        <f xml:space="preserve"> ((C11+D11*(E7-1))/E2) ^ (-1/E3)</f>
        <v>0.51989538399293</v>
      </c>
      <c r="D14" s="133">
        <f xml:space="preserve"> ((C11+D11*(E7-1))/E2) ^ (-1/E3)</f>
        <v>0.51989538399293</v>
      </c>
      <c r="F14" s="44"/>
      <c r="I14" s="133"/>
      <c r="J14" s="133"/>
      <c r="K14" s="133"/>
    </row>
    <row r="15" spans="1:14" x14ac:dyDescent="0.25">
      <c r="A15" s="44"/>
      <c r="B15" s="99" t="s">
        <v>232</v>
      </c>
      <c r="C15" s="133">
        <f xml:space="preserve"> (C14*C11) - (C12*C11) - C13</f>
        <v>18722.388903414489</v>
      </c>
      <c r="D15" s="133">
        <f xml:space="preserve"> (D14*D11) - (D12*D11) - D13</f>
        <v>18722.388903414489</v>
      </c>
      <c r="F15" s="44"/>
    </row>
    <row r="16" spans="1:14" x14ac:dyDescent="0.25">
      <c r="A16" s="44"/>
      <c r="F16" s="44"/>
    </row>
    <row r="17" spans="1:6" ht="15.75" thickBot="1" x14ac:dyDescent="0.3">
      <c r="A17" s="44"/>
      <c r="B17" s="239" t="s">
        <v>26</v>
      </c>
      <c r="C17" s="239"/>
      <c r="D17" s="239"/>
      <c r="E17" s="239"/>
      <c r="F17" s="44"/>
    </row>
    <row r="18" spans="1:6" ht="15.75" thickTop="1" x14ac:dyDescent="0.25">
      <c r="A18" s="44"/>
      <c r="C18" s="99" t="s">
        <v>234</v>
      </c>
      <c r="D18" s="167">
        <f>(C14-C12)/C14</f>
        <v>0.51913402638822059</v>
      </c>
      <c r="F18" s="44"/>
    </row>
    <row r="19" spans="1:6" x14ac:dyDescent="0.25">
      <c r="A19" s="44"/>
      <c r="C19" s="99" t="s">
        <v>233</v>
      </c>
      <c r="D19" s="167">
        <f>C13/(C14*C11)</f>
        <v>0.12978668365999466</v>
      </c>
      <c r="F19" s="44"/>
    </row>
    <row r="20" spans="1:6" x14ac:dyDescent="0.25">
      <c r="A20" s="44"/>
      <c r="C20" s="99" t="s">
        <v>235</v>
      </c>
      <c r="D20" s="200">
        <f>(E4-C12)*C11</f>
        <v>1826733.4681626316</v>
      </c>
      <c r="F20" s="44"/>
    </row>
    <row r="21" spans="1:6" x14ac:dyDescent="0.25">
      <c r="A21" s="44"/>
      <c r="C21" s="99" t="s">
        <v>236</v>
      </c>
      <c r="D21" s="199">
        <f>D20/C13</f>
        <v>292.69884123740383</v>
      </c>
      <c r="F21" s="44"/>
    </row>
    <row r="22" spans="1:6" x14ac:dyDescent="0.25">
      <c r="A22" s="44"/>
      <c r="B22" s="44"/>
      <c r="C22" s="44"/>
      <c r="D22" s="44"/>
      <c r="E22" s="44"/>
      <c r="F22" s="44"/>
    </row>
  </sheetData>
  <mergeCells count="3">
    <mergeCell ref="B1:E1"/>
    <mergeCell ref="B17:E17"/>
    <mergeCell ref="I1:L1"/>
  </mergeCells>
  <conditionalFormatting sqref="D21">
    <cfRule type="cellIs" dxfId="11" priority="1" operator="lessThan">
      <formula>1</formula>
    </cfRule>
    <cfRule type="cellIs" dxfId="10" priority="2" operator="greaterThan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InnovacionCournot">
                <anchor moveWithCells="1" sizeWithCells="1">
                  <from>
                    <xdr:col>7</xdr:col>
                    <xdr:colOff>0</xdr:colOff>
                    <xdr:row>7</xdr:row>
                    <xdr:rowOff>114300</xdr:rowOff>
                  </from>
                  <to>
                    <xdr:col>9</xdr:col>
                    <xdr:colOff>371475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InnovacionStackelberg">
                <anchor moveWithCells="1" sizeWithCells="1">
                  <from>
                    <xdr:col>10</xdr:col>
                    <xdr:colOff>523875</xdr:colOff>
                    <xdr:row>7</xdr:row>
                    <xdr:rowOff>114300</xdr:rowOff>
                  </from>
                  <to>
                    <xdr:col>12</xdr:col>
                    <xdr:colOff>504825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Button 3">
              <controlPr defaultSize="0" print="0" autoFill="0" autoPict="0" macro="[0]!InnovacionAlianza">
                <anchor moveWithCells="1" sizeWithCells="1">
                  <from>
                    <xdr:col>6</xdr:col>
                    <xdr:colOff>504825</xdr:colOff>
                    <xdr:row>11</xdr:row>
                    <xdr:rowOff>152400</xdr:rowOff>
                  </from>
                  <to>
                    <xdr:col>9</xdr:col>
                    <xdr:colOff>361950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6" name="Button 4">
              <controlPr defaultSize="0" print="0" autoFill="0" autoPict="0" macro="[0]!GenerarInformeComparativo">
                <anchor moveWithCells="1" sizeWithCells="1">
                  <from>
                    <xdr:col>10</xdr:col>
                    <xdr:colOff>533400</xdr:colOff>
                    <xdr:row>11</xdr:row>
                    <xdr:rowOff>133350</xdr:rowOff>
                  </from>
                  <to>
                    <xdr:col>12</xdr:col>
                    <xdr:colOff>495300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71F86-1E6A-46ED-AF81-5E0654C76823}">
  <sheetPr codeName="Hoja25">
    <tabColor rgb="FF0070C0"/>
  </sheetPr>
  <dimension ref="A1"/>
  <sheetViews>
    <sheetView showGridLines="0" showRowColHeaders="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14459-702A-49AF-82C6-CA17BCE25382}">
  <sheetPr codeName="Hoja18">
    <tabColor rgb="FF0070C0"/>
  </sheetPr>
  <dimension ref="A1:F21"/>
  <sheetViews>
    <sheetView showGridLines="0" showRowColHeaders="0" zoomScaleNormal="100" workbookViewId="0"/>
  </sheetViews>
  <sheetFormatPr baseColWidth="10" defaultRowHeight="15" x14ac:dyDescent="0.25"/>
  <cols>
    <col min="1" max="1" width="7.7109375" customWidth="1"/>
    <col min="2" max="5" width="12.7109375" customWidth="1"/>
    <col min="6" max="6" width="7.7109375" customWidth="1"/>
  </cols>
  <sheetData>
    <row r="1" spans="1:6" x14ac:dyDescent="0.25">
      <c r="A1" s="2"/>
      <c r="B1" s="236" t="s">
        <v>5</v>
      </c>
      <c r="C1" s="236"/>
      <c r="D1" s="236"/>
      <c r="E1" s="236"/>
      <c r="F1" s="2"/>
    </row>
    <row r="2" spans="1:6" x14ac:dyDescent="0.25">
      <c r="A2" s="2"/>
      <c r="B2" s="100"/>
      <c r="C2" s="101"/>
      <c r="D2" s="104" t="s">
        <v>11</v>
      </c>
      <c r="E2" s="105">
        <v>4000</v>
      </c>
      <c r="F2" s="2"/>
    </row>
    <row r="3" spans="1:6" x14ac:dyDescent="0.25">
      <c r="A3" s="2"/>
      <c r="B3" s="101"/>
      <c r="C3" s="101"/>
      <c r="D3" s="106" t="s">
        <v>12</v>
      </c>
      <c r="E3" s="107">
        <v>1</v>
      </c>
      <c r="F3" s="2"/>
    </row>
    <row r="4" spans="1:6" x14ac:dyDescent="0.25">
      <c r="A4" s="2"/>
      <c r="B4" s="100"/>
      <c r="C4" s="101"/>
      <c r="D4" s="106" t="s">
        <v>13</v>
      </c>
      <c r="E4" s="107">
        <v>2500</v>
      </c>
      <c r="F4" s="2"/>
    </row>
    <row r="5" spans="1:6" x14ac:dyDescent="0.25">
      <c r="A5" s="2"/>
      <c r="D5" s="102" t="s">
        <v>17</v>
      </c>
      <c r="E5" s="114">
        <v>0.21</v>
      </c>
      <c r="F5" s="2"/>
    </row>
    <row r="6" spans="1:6" x14ac:dyDescent="0.25">
      <c r="A6" s="2"/>
      <c r="F6" s="2"/>
    </row>
    <row r="7" spans="1:6" ht="15.75" thickBot="1" x14ac:dyDescent="0.3">
      <c r="A7" s="2"/>
      <c r="B7" s="239" t="s">
        <v>242</v>
      </c>
      <c r="C7" s="239"/>
      <c r="D7" s="239"/>
      <c r="E7" s="239"/>
      <c r="F7" s="2"/>
    </row>
    <row r="8" spans="1:6" ht="15.75" thickTop="1" x14ac:dyDescent="0.25">
      <c r="A8" s="2"/>
      <c r="B8" s="99" t="s">
        <v>4</v>
      </c>
      <c r="C8" s="202">
        <f>E15</f>
        <v>2499.9994542653062</v>
      </c>
      <c r="D8" s="99" t="s">
        <v>245</v>
      </c>
      <c r="E8" s="202">
        <f>(C9*C10)/(1+E5)</f>
        <v>1415160.9493905762</v>
      </c>
      <c r="F8" s="2"/>
    </row>
    <row r="9" spans="1:6" x14ac:dyDescent="0.25">
      <c r="A9" s="2"/>
      <c r="B9" s="99" t="s">
        <v>243</v>
      </c>
      <c r="C9" s="202">
        <f>(E2+E3*C8*(1+E5)) / (2*E3)</f>
        <v>3512.4996698305104</v>
      </c>
      <c r="D9" s="99" t="s">
        <v>246</v>
      </c>
      <c r="E9" s="202">
        <f>C8*C10</f>
        <v>1218750.5593778808</v>
      </c>
      <c r="F9" s="2"/>
    </row>
    <row r="10" spans="1:6" x14ac:dyDescent="0.25">
      <c r="A10" s="2"/>
      <c r="B10" s="99" t="s">
        <v>244</v>
      </c>
      <c r="C10" s="202">
        <f>E2-E3*C9</f>
        <v>487.50033016948964</v>
      </c>
      <c r="D10" s="99" t="s">
        <v>81</v>
      </c>
      <c r="E10" s="96">
        <f>(E8-E9) - E16</f>
        <v>0</v>
      </c>
      <c r="F10" s="2"/>
    </row>
    <row r="11" spans="1:6" x14ac:dyDescent="0.25">
      <c r="A11" s="2"/>
      <c r="C11" s="96"/>
      <c r="F11" s="2"/>
    </row>
    <row r="12" spans="1:6" x14ac:dyDescent="0.25">
      <c r="A12" s="2"/>
      <c r="F12" s="2"/>
    </row>
    <row r="13" spans="1:6" ht="15.75" thickBot="1" x14ac:dyDescent="0.3">
      <c r="A13" s="2"/>
      <c r="B13" s="239" t="s">
        <v>247</v>
      </c>
      <c r="C13" s="239"/>
      <c r="D13" s="239"/>
      <c r="E13" s="239"/>
      <c r="F13" s="2"/>
    </row>
    <row r="14" spans="1:6" ht="15.75" thickTop="1" x14ac:dyDescent="0.25">
      <c r="A14" s="2"/>
      <c r="C14" s="118"/>
      <c r="E14" s="118"/>
      <c r="F14" s="2"/>
    </row>
    <row r="15" spans="1:6" x14ac:dyDescent="0.25">
      <c r="A15" s="2"/>
      <c r="B15" s="99" t="s">
        <v>244</v>
      </c>
      <c r="C15" s="202">
        <f>C10</f>
        <v>487.50033016948964</v>
      </c>
      <c r="D15" s="99" t="s">
        <v>243</v>
      </c>
      <c r="E15" s="202">
        <v>2499.9994542653062</v>
      </c>
      <c r="F15" s="2"/>
    </row>
    <row r="16" spans="1:6" x14ac:dyDescent="0.25">
      <c r="A16" s="2"/>
      <c r="B16" s="99" t="s">
        <v>248</v>
      </c>
      <c r="C16" s="202">
        <f>C15*E4</f>
        <v>1218750.825423724</v>
      </c>
      <c r="D16" s="99" t="s">
        <v>249</v>
      </c>
      <c r="E16" s="202">
        <v>196410.39001269566</v>
      </c>
      <c r="F16" s="2"/>
    </row>
    <row r="17" spans="1:6" x14ac:dyDescent="0.25">
      <c r="A17" s="2"/>
      <c r="B17" s="99"/>
      <c r="C17" s="158"/>
      <c r="D17" s="118"/>
      <c r="E17" s="158"/>
      <c r="F17" s="2"/>
    </row>
    <row r="18" spans="1:6" x14ac:dyDescent="0.25">
      <c r="A18" s="2"/>
      <c r="B18" s="99" t="s">
        <v>250</v>
      </c>
      <c r="C18" s="158">
        <f>E16 + E15*C15 - C16</f>
        <v>196410.12396685244</v>
      </c>
      <c r="D18" s="118"/>
      <c r="E18" s="118"/>
      <c r="F18" s="2"/>
    </row>
    <row r="19" spans="1:6" x14ac:dyDescent="0.25">
      <c r="A19" s="2"/>
      <c r="B19" s="118"/>
      <c r="C19" s="158"/>
      <c r="D19" s="118"/>
      <c r="E19" s="118"/>
      <c r="F19" s="2"/>
    </row>
    <row r="20" spans="1:6" x14ac:dyDescent="0.25">
      <c r="A20" s="2"/>
      <c r="B20" s="118"/>
      <c r="C20" s="118"/>
      <c r="D20" s="118"/>
      <c r="E20" s="118"/>
      <c r="F20" s="2"/>
    </row>
    <row r="21" spans="1:6" x14ac:dyDescent="0.25">
      <c r="A21" s="2"/>
      <c r="B21" s="2"/>
      <c r="C21" s="2"/>
      <c r="D21" s="2"/>
      <c r="E21" s="2"/>
      <c r="F21" s="2"/>
    </row>
  </sheetData>
  <mergeCells count="3">
    <mergeCell ref="B1:E1"/>
    <mergeCell ref="B7:E7"/>
    <mergeCell ref="B13:E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5" r:id="rId3" name="Button 3">
              <controlPr defaultSize="0" print="0" autoFill="0" autoPict="0" macro="[0]!Franquicias">
                <anchor moveWithCells="1" sizeWithCells="1">
                  <from>
                    <xdr:col>6</xdr:col>
                    <xdr:colOff>314325</xdr:colOff>
                    <xdr:row>1</xdr:row>
                    <xdr:rowOff>161925</xdr:rowOff>
                  </from>
                  <to>
                    <xdr:col>8</xdr:col>
                    <xdr:colOff>266700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EE298-9DB1-401C-B1D6-C7CA3687FE9B}">
  <sheetPr codeName="Hoja19">
    <tabColor rgb="FF0070C0"/>
  </sheetPr>
  <dimension ref="A1:T18"/>
  <sheetViews>
    <sheetView showGridLines="0" showRowColHeaders="0" zoomScale="90" zoomScaleNormal="90" workbookViewId="0"/>
  </sheetViews>
  <sheetFormatPr baseColWidth="10" defaultRowHeight="15" x14ac:dyDescent="0.25"/>
  <cols>
    <col min="1" max="1" width="7.7109375" customWidth="1"/>
    <col min="6" max="6" width="7.7109375" customWidth="1"/>
    <col min="7" max="7" width="11.7109375" customWidth="1"/>
    <col min="8" max="8" width="7.7109375" customWidth="1"/>
    <col min="13" max="13" width="7.7109375" customWidth="1"/>
    <col min="14" max="14" width="11.7109375" customWidth="1"/>
    <col min="15" max="15" width="7.7109375" customWidth="1"/>
    <col min="16" max="18" width="12.7109375" customWidth="1"/>
    <col min="19" max="19" width="7.7109375" customWidth="1"/>
    <col min="20" max="22" width="11.7109375" customWidth="1"/>
  </cols>
  <sheetData>
    <row r="1" spans="1:20" x14ac:dyDescent="0.25">
      <c r="A1" s="2"/>
      <c r="B1" s="236" t="s">
        <v>50</v>
      </c>
      <c r="C1" s="236"/>
      <c r="D1" s="236"/>
      <c r="E1" s="236"/>
      <c r="F1" s="2"/>
      <c r="H1" s="2"/>
      <c r="I1" s="236" t="s">
        <v>51</v>
      </c>
      <c r="J1" s="236"/>
      <c r="K1" s="236"/>
      <c r="L1" s="236"/>
      <c r="M1" s="2"/>
      <c r="O1" s="2"/>
      <c r="P1" s="236" t="s">
        <v>26</v>
      </c>
      <c r="Q1" s="236"/>
      <c r="R1" s="236"/>
      <c r="S1" s="2"/>
      <c r="T1" s="5"/>
    </row>
    <row r="2" spans="1:20" x14ac:dyDescent="0.25">
      <c r="A2" s="2"/>
      <c r="D2" s="104" t="s">
        <v>11</v>
      </c>
      <c r="E2" s="105">
        <v>100</v>
      </c>
      <c r="F2" s="2"/>
      <c r="H2" s="2"/>
      <c r="K2" s="104" t="s">
        <v>11</v>
      </c>
      <c r="L2" s="105">
        <v>100</v>
      </c>
      <c r="M2" s="2"/>
      <c r="O2" s="2"/>
      <c r="P2" s="5"/>
      <c r="Q2" s="3" t="s">
        <v>68</v>
      </c>
      <c r="R2" s="167">
        <f>L9/E14-1</f>
        <v>-0.32266384114684543</v>
      </c>
      <c r="S2" s="2"/>
      <c r="T2" s="5"/>
    </row>
    <row r="3" spans="1:20" x14ac:dyDescent="0.25">
      <c r="A3" s="2"/>
      <c r="B3" s="100"/>
      <c r="C3" s="101"/>
      <c r="D3" s="144" t="s">
        <v>12</v>
      </c>
      <c r="E3" s="107">
        <v>2</v>
      </c>
      <c r="F3" s="2"/>
      <c r="H3" s="2"/>
      <c r="I3" s="100"/>
      <c r="J3" s="101"/>
      <c r="K3" s="144" t="s">
        <v>12</v>
      </c>
      <c r="L3" s="107">
        <v>2</v>
      </c>
      <c r="M3" s="2"/>
      <c r="O3" s="2"/>
      <c r="P3" s="5"/>
      <c r="Q3" s="3" t="s">
        <v>69</v>
      </c>
      <c r="R3" s="167">
        <f>J9/C15-1</f>
        <v>0.99999996488749709</v>
      </c>
      <c r="S3" s="2"/>
      <c r="T3" s="5"/>
    </row>
    <row r="4" spans="1:20" x14ac:dyDescent="0.25">
      <c r="A4" s="2"/>
      <c r="B4" s="101"/>
      <c r="C4" s="101"/>
      <c r="F4" s="2"/>
      <c r="H4" s="2"/>
      <c r="I4" s="101"/>
      <c r="J4" s="101"/>
      <c r="M4" s="2"/>
      <c r="O4" s="2"/>
      <c r="P4" s="5"/>
      <c r="Q4" s="3" t="s">
        <v>34</v>
      </c>
      <c r="R4" s="207">
        <f>J11/(C10+C17)-1</f>
        <v>0.33333331772777663</v>
      </c>
      <c r="S4" s="2"/>
      <c r="T4" s="5"/>
    </row>
    <row r="5" spans="1:20" ht="15.75" thickBot="1" x14ac:dyDescent="0.3">
      <c r="A5" s="2"/>
      <c r="B5" s="262" t="s">
        <v>251</v>
      </c>
      <c r="C5" s="262"/>
      <c r="D5" s="262"/>
      <c r="E5" s="263"/>
      <c r="F5" s="2"/>
      <c r="H5" s="2"/>
      <c r="I5" s="262" t="s">
        <v>253</v>
      </c>
      <c r="J5" s="262"/>
      <c r="K5" s="262"/>
      <c r="L5" s="263"/>
      <c r="M5" s="2"/>
      <c r="O5" s="2"/>
      <c r="P5" s="5"/>
      <c r="Q5" s="5"/>
      <c r="R5" s="208">
        <f>J11-(C10+C17)</f>
        <v>245.9157041752012</v>
      </c>
      <c r="S5" s="2"/>
      <c r="T5" s="5"/>
    </row>
    <row r="6" spans="1:20" ht="15.75" thickTop="1" x14ac:dyDescent="0.25">
      <c r="A6" s="2"/>
      <c r="D6" s="108" t="s">
        <v>13</v>
      </c>
      <c r="E6" s="109">
        <v>1</v>
      </c>
      <c r="F6" s="2"/>
      <c r="H6" s="2"/>
      <c r="K6" s="108" t="s">
        <v>13</v>
      </c>
      <c r="L6" s="109">
        <v>1</v>
      </c>
      <c r="M6" s="2"/>
      <c r="O6" s="2"/>
      <c r="P6" s="2"/>
      <c r="Q6" s="205"/>
      <c r="R6" s="206"/>
      <c r="S6" s="2"/>
      <c r="T6" s="5"/>
    </row>
    <row r="7" spans="1:20" x14ac:dyDescent="0.25">
      <c r="A7" s="2"/>
      <c r="D7" s="102" t="s">
        <v>17</v>
      </c>
      <c r="E7" s="114">
        <v>0.21</v>
      </c>
      <c r="F7" s="2"/>
      <c r="H7" s="2"/>
      <c r="K7" s="102" t="s">
        <v>17</v>
      </c>
      <c r="L7" s="114">
        <v>0.21</v>
      </c>
      <c r="M7" s="2"/>
      <c r="T7" s="5"/>
    </row>
    <row r="8" spans="1:20" x14ac:dyDescent="0.25">
      <c r="A8" s="2"/>
      <c r="F8" s="2"/>
      <c r="H8" s="2"/>
      <c r="M8" s="2"/>
      <c r="T8" s="5"/>
    </row>
    <row r="9" spans="1:20" x14ac:dyDescent="0.25">
      <c r="A9" s="2"/>
      <c r="B9" s="99" t="s">
        <v>1</v>
      </c>
      <c r="C9" s="96">
        <f>C15</f>
        <v>24.39500042828476</v>
      </c>
      <c r="D9" s="204" t="s">
        <v>254</v>
      </c>
      <c r="E9" s="96">
        <v>21.161156670839048</v>
      </c>
      <c r="F9" s="2"/>
      <c r="H9" s="2"/>
      <c r="I9" s="99" t="s">
        <v>1</v>
      </c>
      <c r="J9" s="96">
        <f>L2-L3*L9</f>
        <v>48.79</v>
      </c>
      <c r="K9" s="99" t="s">
        <v>8</v>
      </c>
      <c r="L9" s="96">
        <f>(L2+L3*L6*(1+L7)) / (2*L3)</f>
        <v>25.605</v>
      </c>
      <c r="M9" s="2"/>
      <c r="T9" s="5"/>
    </row>
    <row r="10" spans="1:20" x14ac:dyDescent="0.25">
      <c r="A10" s="2"/>
      <c r="B10" t="s">
        <v>81</v>
      </c>
      <c r="C10" s="96">
        <f>(E9-E6)*C9</f>
        <v>491.83142561983476</v>
      </c>
      <c r="D10" s="99" t="s">
        <v>9</v>
      </c>
      <c r="E10" s="96">
        <f>E9/(1+E7)</f>
        <v>17.488559232098389</v>
      </c>
      <c r="F10" s="2"/>
      <c r="H10" s="2"/>
      <c r="K10" s="99" t="s">
        <v>9</v>
      </c>
      <c r="L10" s="96">
        <f>L9/(1+L7)</f>
        <v>21.16115702479339</v>
      </c>
      <c r="M10" s="2"/>
      <c r="T10" s="5"/>
    </row>
    <row r="11" spans="1:20" x14ac:dyDescent="0.25">
      <c r="A11" s="2"/>
      <c r="C11" s="99"/>
      <c r="D11" s="203"/>
      <c r="F11" s="2"/>
      <c r="H11" s="2"/>
      <c r="I11" t="s">
        <v>81</v>
      </c>
      <c r="J11" s="96">
        <f>(L10-L6)*J9</f>
        <v>983.66285123966952</v>
      </c>
      <c r="M11" s="2"/>
      <c r="T11" s="5"/>
    </row>
    <row r="12" spans="1:20" ht="15.75" thickBot="1" x14ac:dyDescent="0.3">
      <c r="A12" s="2"/>
      <c r="B12" s="239" t="s">
        <v>252</v>
      </c>
      <c r="C12" s="239"/>
      <c r="D12" s="239"/>
      <c r="E12" s="239"/>
      <c r="F12" s="2"/>
      <c r="H12" s="2"/>
      <c r="M12" s="2"/>
      <c r="T12" s="5"/>
    </row>
    <row r="13" spans="1:20" ht="15.75" thickTop="1" x14ac:dyDescent="0.25">
      <c r="A13" s="2"/>
      <c r="F13" s="2"/>
      <c r="H13" s="2"/>
      <c r="I13" s="2"/>
      <c r="J13" s="2"/>
      <c r="K13" s="2"/>
      <c r="L13" s="2"/>
      <c r="M13" s="2"/>
      <c r="T13" s="5"/>
    </row>
    <row r="14" spans="1:20" x14ac:dyDescent="0.25">
      <c r="A14" s="2"/>
      <c r="B14" s="99" t="s">
        <v>4</v>
      </c>
      <c r="C14" s="96">
        <f>E9</f>
        <v>21.161156670839048</v>
      </c>
      <c r="D14" s="99" t="s">
        <v>8</v>
      </c>
      <c r="E14" s="96">
        <f>(E2+E3*C14*(1+E7)) / (2*E3)</f>
        <v>37.80249978585762</v>
      </c>
      <c r="F14" s="2"/>
      <c r="T14" s="5"/>
    </row>
    <row r="15" spans="1:20" x14ac:dyDescent="0.25">
      <c r="A15" s="2"/>
      <c r="B15" s="99" t="s">
        <v>1</v>
      </c>
      <c r="C15" s="96">
        <f>E2-E3*E14</f>
        <v>24.39500042828476</v>
      </c>
      <c r="D15" s="99" t="s">
        <v>9</v>
      </c>
      <c r="E15" s="96">
        <f>E14/(1+E7)</f>
        <v>31.24173536021291</v>
      </c>
      <c r="F15" s="2"/>
      <c r="T15" s="5"/>
    </row>
    <row r="16" spans="1:20" x14ac:dyDescent="0.25">
      <c r="A16" s="2"/>
      <c r="F16" s="2"/>
      <c r="T16" s="5"/>
    </row>
    <row r="17" spans="1:6" x14ac:dyDescent="0.25">
      <c r="A17" s="2"/>
      <c r="B17" t="s">
        <v>81</v>
      </c>
      <c r="C17" s="96">
        <f>(E15-C14)*C15</f>
        <v>245.91572144463359</v>
      </c>
      <c r="F17" s="2"/>
    </row>
    <row r="18" spans="1:6" x14ac:dyDescent="0.25">
      <c r="A18" s="2"/>
      <c r="B18" s="2"/>
      <c r="C18" s="2"/>
      <c r="D18" s="2"/>
      <c r="E18" s="2"/>
      <c r="F18" s="2"/>
    </row>
  </sheetData>
  <mergeCells count="6">
    <mergeCell ref="P1:R1"/>
    <mergeCell ref="B12:E12"/>
    <mergeCell ref="B5:E5"/>
    <mergeCell ref="I5:L5"/>
    <mergeCell ref="B1:E1"/>
    <mergeCell ref="I1:L1"/>
  </mergeCells>
  <conditionalFormatting sqref="R2">
    <cfRule type="cellIs" dxfId="9" priority="5" operator="greaterThan">
      <formula>0.01</formula>
    </cfRule>
    <cfRule type="cellIs" dxfId="8" priority="6" operator="lessThan">
      <formula>-0.01</formula>
    </cfRule>
  </conditionalFormatting>
  <conditionalFormatting sqref="R3">
    <cfRule type="cellIs" dxfId="7" priority="3" operator="lessThan">
      <formula>-0.01</formula>
    </cfRule>
    <cfRule type="cellIs" dxfId="6" priority="4" operator="greaterThan">
      <formula>0.01</formula>
    </cfRule>
  </conditionalFormatting>
  <conditionalFormatting sqref="R4">
    <cfRule type="cellIs" dxfId="5" priority="1" operator="lessThan">
      <formula>-0.01</formula>
    </cfRule>
    <cfRule type="cellIs" dxfId="4" priority="2" operator="greaterThan">
      <formula>0.01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60" r:id="rId3" name="Button 4">
              <controlPr defaultSize="0" print="0" autoFill="0" autoPict="0" macro="[0]!Integracion">
                <anchor moveWithCells="1" sizeWithCells="1">
                  <from>
                    <xdr:col>15</xdr:col>
                    <xdr:colOff>333375</xdr:colOff>
                    <xdr:row>6</xdr:row>
                    <xdr:rowOff>57150</xdr:rowOff>
                  </from>
                  <to>
                    <xdr:col>17</xdr:col>
                    <xdr:colOff>419100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39DB1-4678-41DD-94B9-E158608F2857}">
  <sheetPr codeName="Hoja20">
    <tabColor rgb="FF0070C0"/>
  </sheetPr>
  <dimension ref="A1:N19"/>
  <sheetViews>
    <sheetView showGridLines="0" showRowColHeaders="0" zoomScale="90" zoomScaleNormal="90" workbookViewId="0">
      <selection activeCell="F6" sqref="F6"/>
    </sheetView>
  </sheetViews>
  <sheetFormatPr baseColWidth="10" defaultRowHeight="15" x14ac:dyDescent="0.25"/>
  <cols>
    <col min="1" max="1" width="7.7109375" customWidth="1"/>
    <col min="2" max="4" width="14.7109375" customWidth="1"/>
    <col min="5" max="5" width="7.7109375" customWidth="1"/>
    <col min="6" max="6" width="22.7109375" customWidth="1"/>
    <col min="7" max="7" width="7.7109375" customWidth="1"/>
    <col min="8" max="10" width="14.7109375" customWidth="1"/>
    <col min="11" max="11" width="7.7109375" customWidth="1"/>
  </cols>
  <sheetData>
    <row r="1" spans="1:14" x14ac:dyDescent="0.25">
      <c r="A1" s="2"/>
      <c r="B1" s="236" t="s">
        <v>255</v>
      </c>
      <c r="C1" s="236"/>
      <c r="D1" s="236"/>
      <c r="E1" s="2"/>
      <c r="G1" s="2"/>
      <c r="H1" s="236" t="s">
        <v>266</v>
      </c>
      <c r="I1" s="236"/>
      <c r="J1" s="236"/>
      <c r="K1" s="2"/>
    </row>
    <row r="2" spans="1:14" x14ac:dyDescent="0.25">
      <c r="A2" s="2"/>
      <c r="C2" s="110" t="s">
        <v>256</v>
      </c>
      <c r="D2" s="111">
        <v>1</v>
      </c>
      <c r="E2" s="2"/>
      <c r="G2" s="2"/>
      <c r="I2" s="110" t="s">
        <v>256</v>
      </c>
      <c r="J2" s="111">
        <v>1</v>
      </c>
      <c r="K2" s="2"/>
      <c r="M2" s="99" t="s">
        <v>270</v>
      </c>
      <c r="N2" s="166">
        <f>J16/D15-1</f>
        <v>0.55999999999999983</v>
      </c>
    </row>
    <row r="3" spans="1:14" x14ac:dyDescent="0.25">
      <c r="A3" s="2"/>
      <c r="C3" s="102" t="s">
        <v>248</v>
      </c>
      <c r="D3" s="103">
        <v>0.5</v>
      </c>
      <c r="E3" s="2"/>
      <c r="G3" s="2"/>
      <c r="I3" s="102" t="s">
        <v>248</v>
      </c>
      <c r="J3" s="103">
        <v>0.4</v>
      </c>
      <c r="K3" s="2"/>
      <c r="M3" s="99" t="s">
        <v>269</v>
      </c>
      <c r="N3" s="166">
        <f>J18/D17-1</f>
        <v>5.6000001017239454E-2</v>
      </c>
    </row>
    <row r="4" spans="1:14" x14ac:dyDescent="0.25">
      <c r="A4" s="2"/>
      <c r="E4" s="2"/>
      <c r="G4" s="2"/>
      <c r="K4" s="2"/>
    </row>
    <row r="5" spans="1:14" x14ac:dyDescent="0.25">
      <c r="A5" s="2"/>
      <c r="C5" s="99" t="s">
        <v>243</v>
      </c>
      <c r="D5" s="158">
        <f>D2</f>
        <v>1</v>
      </c>
      <c r="E5" s="2"/>
      <c r="G5" s="2"/>
      <c r="I5" s="99" t="s">
        <v>243</v>
      </c>
      <c r="J5" s="158">
        <v>0.75</v>
      </c>
      <c r="K5" s="2"/>
    </row>
    <row r="6" spans="1:14" x14ac:dyDescent="0.25">
      <c r="A6" s="2"/>
      <c r="E6" s="2"/>
      <c r="G6" s="2"/>
      <c r="I6" s="99" t="s">
        <v>267</v>
      </c>
      <c r="J6" s="96">
        <v>0.54999999682112666</v>
      </c>
      <c r="K6" s="2"/>
    </row>
    <row r="7" spans="1:14" x14ac:dyDescent="0.25">
      <c r="A7" s="2"/>
      <c r="C7" s="118" t="s">
        <v>263</v>
      </c>
      <c r="D7" s="118" t="s">
        <v>264</v>
      </c>
      <c r="E7" s="2"/>
      <c r="G7" s="2"/>
      <c r="K7" s="2"/>
    </row>
    <row r="8" spans="1:14" x14ac:dyDescent="0.25">
      <c r="A8" s="2"/>
      <c r="B8" s="99" t="s">
        <v>261</v>
      </c>
      <c r="C8" s="118">
        <v>0</v>
      </c>
      <c r="D8" s="118">
        <v>1</v>
      </c>
      <c r="E8" s="2"/>
      <c r="G8" s="2"/>
      <c r="I8" s="118" t="s">
        <v>263</v>
      </c>
      <c r="J8" s="118" t="s">
        <v>264</v>
      </c>
      <c r="K8" s="2"/>
    </row>
    <row r="9" spans="1:14" x14ac:dyDescent="0.25">
      <c r="A9" s="2"/>
      <c r="E9" s="2"/>
      <c r="G9" s="2"/>
      <c r="H9" s="99" t="s">
        <v>261</v>
      </c>
      <c r="I9" s="118">
        <v>0</v>
      </c>
      <c r="J9" s="118">
        <v>1</v>
      </c>
      <c r="K9" s="2"/>
    </row>
    <row r="10" spans="1:14" x14ac:dyDescent="0.25">
      <c r="A10" s="2"/>
      <c r="C10" s="99" t="s">
        <v>257</v>
      </c>
      <c r="D10" s="166">
        <f xml:space="preserve"> MAX( 0, MIN(1,(D3-C8)/(D8-C8)) )</f>
        <v>0.5</v>
      </c>
      <c r="E10" s="2"/>
      <c r="G10" s="2"/>
      <c r="K10" s="2"/>
    </row>
    <row r="11" spans="1:14" x14ac:dyDescent="0.25">
      <c r="A11" s="2"/>
      <c r="C11" s="99" t="s">
        <v>259</v>
      </c>
      <c r="D11" s="166">
        <f>1-D10</f>
        <v>0.5</v>
      </c>
      <c r="E11" s="2"/>
      <c r="G11" s="2"/>
      <c r="I11" s="99" t="s">
        <v>257</v>
      </c>
      <c r="J11" s="166">
        <f xml:space="preserve"> MAX( 0, MIN(1,(J5-J6-I9)/(J9-I9)) )</f>
        <v>0.20000000317887334</v>
      </c>
      <c r="K11" s="2"/>
    </row>
    <row r="12" spans="1:14" x14ac:dyDescent="0.25">
      <c r="A12" s="2"/>
      <c r="C12" s="99" t="s">
        <v>265</v>
      </c>
      <c r="D12" s="158">
        <f>(C8+D3)/2</f>
        <v>0.25</v>
      </c>
      <c r="E12" s="2"/>
      <c r="G12" s="2"/>
      <c r="I12" s="99" t="s">
        <v>259</v>
      </c>
      <c r="J12" s="166">
        <f>1-J11</f>
        <v>0.79999999682112666</v>
      </c>
      <c r="K12" s="2"/>
    </row>
    <row r="13" spans="1:14" x14ac:dyDescent="0.25">
      <c r="A13" s="2"/>
      <c r="E13" s="2"/>
      <c r="G13" s="2"/>
      <c r="I13" s="99" t="s">
        <v>265</v>
      </c>
      <c r="J13" s="210">
        <f>(I9+J5-J6)/2</f>
        <v>0.10000000158943667</v>
      </c>
      <c r="K13" s="2"/>
    </row>
    <row r="14" spans="1:14" x14ac:dyDescent="0.25">
      <c r="A14" s="2"/>
      <c r="C14" s="99" t="s">
        <v>258</v>
      </c>
      <c r="D14" s="158">
        <f>D11*(D2-D5) + D10*(D2-D3)</f>
        <v>0.25</v>
      </c>
      <c r="E14" s="2"/>
      <c r="G14" s="2"/>
      <c r="K14" s="2"/>
    </row>
    <row r="15" spans="1:14" x14ac:dyDescent="0.25">
      <c r="A15" s="2"/>
      <c r="C15" s="99" t="s">
        <v>260</v>
      </c>
      <c r="D15" s="158">
        <f>D10*0 + D11*(D5-D3)</f>
        <v>0.25</v>
      </c>
      <c r="E15" s="2"/>
      <c r="G15" s="2"/>
      <c r="I15" s="99" t="s">
        <v>258</v>
      </c>
      <c r="J15" s="158">
        <f>J12*(J2-J5) + J11*(J2-J6-(J5-J6))</f>
        <v>0.25</v>
      </c>
      <c r="K15" s="2"/>
    </row>
    <row r="16" spans="1:14" x14ac:dyDescent="0.25">
      <c r="A16" s="2"/>
      <c r="C16" s="99" t="s">
        <v>262</v>
      </c>
      <c r="D16" s="158">
        <f>D11*0 + D10*(D3-D12)</f>
        <v>0.125</v>
      </c>
      <c r="E16" s="2"/>
      <c r="G16" s="2"/>
      <c r="I16" s="99" t="s">
        <v>260</v>
      </c>
      <c r="J16" s="210">
        <f>J12*(J5-J3) + J11*(J6)</f>
        <v>0.38999999999999996</v>
      </c>
      <c r="K16" s="2"/>
    </row>
    <row r="17" spans="1:11" x14ac:dyDescent="0.25">
      <c r="A17" s="2"/>
      <c r="C17" s="99" t="s">
        <v>268</v>
      </c>
      <c r="D17" s="158">
        <f>D16+D15+D14</f>
        <v>0.625</v>
      </c>
      <c r="E17" s="2"/>
      <c r="G17" s="2"/>
      <c r="I17" s="99" t="s">
        <v>262</v>
      </c>
      <c r="J17" s="210">
        <f>J12*0 + J11*(J5-J6-J13)</f>
        <v>2.0000000635774673E-2</v>
      </c>
      <c r="K17" s="2"/>
    </row>
    <row r="18" spans="1:11" x14ac:dyDescent="0.25">
      <c r="A18" s="2"/>
      <c r="B18" s="2"/>
      <c r="C18" s="2"/>
      <c r="D18" s="2"/>
      <c r="E18" s="2"/>
      <c r="G18" s="2"/>
      <c r="I18" s="99" t="s">
        <v>268</v>
      </c>
      <c r="J18" s="210">
        <f>J17+J16+J15</f>
        <v>0.66000000063577469</v>
      </c>
      <c r="K18" s="2"/>
    </row>
    <row r="19" spans="1:11" x14ac:dyDescent="0.25">
      <c r="G19" s="2"/>
      <c r="H19" s="2"/>
      <c r="I19" s="2"/>
      <c r="J19" s="2"/>
      <c r="K19" s="2"/>
    </row>
  </sheetData>
  <mergeCells count="2">
    <mergeCell ref="B1:D1"/>
    <mergeCell ref="H1:J1"/>
  </mergeCells>
  <conditionalFormatting sqref="J11">
    <cfRule type="cellIs" dxfId="3" priority="1" operator="lessThan">
      <formula>0.11</formula>
    </cfRule>
    <cfRule type="cellIs" dxfId="2" priority="2" operator="greaterThan">
      <formula>0.24</formula>
    </cfRule>
  </conditionalFormatting>
  <conditionalFormatting sqref="N2:N3">
    <cfRule type="cellIs" dxfId="1" priority="3" operator="lessThan">
      <formula>-0.01</formula>
    </cfRule>
    <cfRule type="cellIs" dxfId="0" priority="4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Exclusividad">
                <anchor moveWithCells="1" sizeWithCells="1">
                  <from>
                    <xdr:col>5</xdr:col>
                    <xdr:colOff>57150</xdr:colOff>
                    <xdr:row>0</xdr:row>
                    <xdr:rowOff>57150</xdr:rowOff>
                  </from>
                  <to>
                    <xdr:col>5</xdr:col>
                    <xdr:colOff>1485900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DC3BD-DC91-4BC4-BE4C-C40E883C13D4}">
  <sheetPr codeName="Hoja21">
    <tabColor rgb="FF0070C0"/>
  </sheetPr>
  <dimension ref="A1:M15"/>
  <sheetViews>
    <sheetView showGridLines="0" showRowColHeaders="0" zoomScale="90" zoomScaleNormal="90" workbookViewId="0"/>
  </sheetViews>
  <sheetFormatPr baseColWidth="10" defaultRowHeight="15" x14ac:dyDescent="0.25"/>
  <cols>
    <col min="1" max="1" width="7.7109375" customWidth="1"/>
    <col min="2" max="2" width="18.7109375" bestFit="1" customWidth="1"/>
    <col min="3" max="3" width="15.7109375" customWidth="1"/>
    <col min="4" max="4" width="22.5703125" customWidth="1"/>
    <col min="5" max="6" width="7.7109375" customWidth="1"/>
    <col min="7" max="7" width="15.7109375" customWidth="1"/>
    <col min="8" max="8" width="7.7109375" customWidth="1"/>
    <col min="9" max="9" width="19.7109375" bestFit="1" customWidth="1"/>
    <col min="10" max="10" width="12.7109375" customWidth="1"/>
    <col min="11" max="11" width="15.85546875" bestFit="1" customWidth="1"/>
    <col min="12" max="12" width="12.7109375" customWidth="1"/>
    <col min="13" max="13" width="7.7109375" customWidth="1"/>
  </cols>
  <sheetData>
    <row r="1" spans="1:13" x14ac:dyDescent="0.25">
      <c r="A1" s="2"/>
      <c r="B1" s="236" t="s">
        <v>271</v>
      </c>
      <c r="C1" s="236"/>
      <c r="D1" s="236"/>
      <c r="E1" s="236"/>
      <c r="F1" s="2"/>
      <c r="H1" s="2"/>
      <c r="I1" s="236" t="s">
        <v>281</v>
      </c>
      <c r="J1" s="236"/>
      <c r="K1" s="236"/>
      <c r="L1" s="236"/>
      <c r="M1" s="2"/>
    </row>
    <row r="2" spans="1:13" ht="15.75" thickBot="1" x14ac:dyDescent="0.3">
      <c r="A2" s="2"/>
      <c r="B2" s="239" t="s">
        <v>272</v>
      </c>
      <c r="C2" s="239"/>
      <c r="D2" s="239"/>
      <c r="E2" s="239"/>
      <c r="F2" s="2"/>
      <c r="H2" s="2"/>
      <c r="I2" s="239" t="s">
        <v>272</v>
      </c>
      <c r="J2" s="239"/>
      <c r="K2" s="239"/>
      <c r="L2" s="239"/>
      <c r="M2" s="2"/>
    </row>
    <row r="3" spans="1:13" ht="15.75" thickTop="1" x14ac:dyDescent="0.25">
      <c r="A3" s="2"/>
      <c r="B3" s="264" t="s">
        <v>277</v>
      </c>
      <c r="C3" s="264"/>
      <c r="D3" s="264"/>
      <c r="E3" s="264"/>
      <c r="F3" s="2"/>
      <c r="H3" s="2"/>
      <c r="I3" s="110" t="s">
        <v>279</v>
      </c>
      <c r="J3" s="111">
        <v>0</v>
      </c>
      <c r="K3" s="209" t="s">
        <v>280</v>
      </c>
      <c r="L3" s="111">
        <v>100</v>
      </c>
      <c r="M3" s="2"/>
    </row>
    <row r="4" spans="1:13" x14ac:dyDescent="0.25">
      <c r="A4" s="2"/>
      <c r="B4" s="264"/>
      <c r="C4" s="264"/>
      <c r="D4" s="264"/>
      <c r="E4" s="264"/>
      <c r="F4" s="2"/>
      <c r="H4" s="2"/>
      <c r="I4" s="102" t="s">
        <v>282</v>
      </c>
      <c r="J4" s="103">
        <v>9</v>
      </c>
      <c r="K4" s="201" t="s">
        <v>283</v>
      </c>
      <c r="L4" s="103">
        <v>100</v>
      </c>
      <c r="M4" s="2"/>
    </row>
    <row r="5" spans="1:13" x14ac:dyDescent="0.25">
      <c r="A5" s="2"/>
      <c r="F5" s="2"/>
      <c r="H5" s="2"/>
      <c r="M5" s="2"/>
    </row>
    <row r="6" spans="1:13" ht="15.75" thickBot="1" x14ac:dyDescent="0.3">
      <c r="A6" s="2"/>
      <c r="B6" s="239" t="s">
        <v>273</v>
      </c>
      <c r="C6" s="239"/>
      <c r="D6" s="239"/>
      <c r="E6" s="239"/>
      <c r="F6" s="2"/>
      <c r="H6" s="2"/>
      <c r="J6" s="99" t="s">
        <v>2</v>
      </c>
      <c r="K6" s="211">
        <v>89.999982386557349</v>
      </c>
      <c r="M6" s="2"/>
    </row>
    <row r="7" spans="1:13" ht="15.75" thickTop="1" x14ac:dyDescent="0.25">
      <c r="A7" s="2"/>
      <c r="F7" s="2"/>
      <c r="H7" s="2"/>
      <c r="M7" s="2"/>
    </row>
    <row r="8" spans="1:13" x14ac:dyDescent="0.25">
      <c r="A8" s="2"/>
      <c r="B8" s="102" t="s">
        <v>279</v>
      </c>
      <c r="C8" s="103">
        <v>10</v>
      </c>
      <c r="D8" s="201" t="s">
        <v>280</v>
      </c>
      <c r="E8" s="103">
        <v>100</v>
      </c>
      <c r="F8" s="2"/>
      <c r="H8" s="2"/>
      <c r="I8" s="99" t="s">
        <v>260</v>
      </c>
      <c r="J8" s="96">
        <f>L8*(L4-K6)</f>
        <v>3.8742048899933232</v>
      </c>
      <c r="K8" s="99" t="s">
        <v>284</v>
      </c>
      <c r="L8" s="166">
        <f xml:space="preserve"> ( (K6-J3)/(L3-J3) )^J4</f>
        <v>0.38741980661967773</v>
      </c>
      <c r="M8" s="2"/>
    </row>
    <row r="9" spans="1:13" x14ac:dyDescent="0.25">
      <c r="A9" s="2"/>
      <c r="F9" s="2"/>
      <c r="H9" s="2"/>
      <c r="M9" s="2"/>
    </row>
    <row r="10" spans="1:13" ht="15.75" thickBot="1" x14ac:dyDescent="0.3">
      <c r="A10" s="2"/>
      <c r="C10" s="102" t="s">
        <v>278</v>
      </c>
      <c r="D10" s="103">
        <v>10</v>
      </c>
      <c r="F10" s="2"/>
      <c r="H10" s="2"/>
      <c r="I10" s="239" t="s">
        <v>273</v>
      </c>
      <c r="J10" s="239"/>
      <c r="K10" s="239"/>
      <c r="L10" s="239"/>
      <c r="M10" s="2"/>
    </row>
    <row r="11" spans="1:13" ht="15" customHeight="1" thickTop="1" x14ac:dyDescent="0.25">
      <c r="A11" s="2"/>
      <c r="F11" s="2"/>
      <c r="H11" s="2"/>
      <c r="I11" s="213" t="s">
        <v>285</v>
      </c>
      <c r="J11" s="212"/>
      <c r="K11" s="212"/>
      <c r="L11" s="212"/>
      <c r="M11" s="2"/>
    </row>
    <row r="12" spans="1:13" ht="15" customHeight="1" x14ac:dyDescent="0.25">
      <c r="A12" s="2"/>
      <c r="B12" s="99" t="s">
        <v>274</v>
      </c>
      <c r="C12" s="96">
        <v>53.199999999999974</v>
      </c>
      <c r="F12" s="2"/>
      <c r="H12" s="2"/>
      <c r="I12" t="s">
        <v>286</v>
      </c>
      <c r="M12" s="2"/>
    </row>
    <row r="13" spans="1:13" x14ac:dyDescent="0.25">
      <c r="A13" s="2"/>
      <c r="F13" s="2"/>
      <c r="H13" s="2"/>
      <c r="M13" s="2"/>
    </row>
    <row r="14" spans="1:13" x14ac:dyDescent="0.25">
      <c r="A14" s="2"/>
      <c r="B14" s="99" t="s">
        <v>275</v>
      </c>
      <c r="C14" s="96">
        <v>83.891993747215182</v>
      </c>
      <c r="D14" s="99" t="s">
        <v>276</v>
      </c>
      <c r="E14" s="166">
        <v>6.4925062108544629E-4</v>
      </c>
      <c r="F14" s="2"/>
      <c r="H14" s="2"/>
      <c r="M14" s="2"/>
    </row>
    <row r="15" spans="1:13" x14ac:dyDescent="0.25">
      <c r="A15" s="2"/>
      <c r="B15" s="2"/>
      <c r="C15" s="2"/>
      <c r="D15" s="2"/>
      <c r="E15" s="2"/>
      <c r="F15" s="2"/>
      <c r="H15" s="2"/>
      <c r="I15" s="2"/>
      <c r="J15" s="2"/>
      <c r="K15" s="2"/>
      <c r="L15" s="2"/>
      <c r="M15" s="2"/>
    </row>
  </sheetData>
  <mergeCells count="7">
    <mergeCell ref="I10:L10"/>
    <mergeCell ref="B2:E2"/>
    <mergeCell ref="B1:E1"/>
    <mergeCell ref="B3:E4"/>
    <mergeCell ref="B6:E6"/>
    <mergeCell ref="I1:L1"/>
    <mergeCell ref="I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CalcularReservaOptima">
                <anchor moveWithCells="1" sizeWithCells="1">
                  <from>
                    <xdr:col>1</xdr:col>
                    <xdr:colOff>1066800</xdr:colOff>
                    <xdr:row>15</xdr:row>
                    <xdr:rowOff>95250</xdr:rowOff>
                  </from>
                  <to>
                    <xdr:col>3</xdr:col>
                    <xdr:colOff>638175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Button 2">
              <controlPr defaultSize="0" print="0" autoFill="0" autoPict="0" macro="[0]!primprecio">
                <anchor moveWithCells="1" sizeWithCells="1">
                  <from>
                    <xdr:col>8</xdr:col>
                    <xdr:colOff>1028700</xdr:colOff>
                    <xdr:row>15</xdr:row>
                    <xdr:rowOff>85725</xdr:rowOff>
                  </from>
                  <to>
                    <xdr:col>10</xdr:col>
                    <xdr:colOff>733425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9D955-273E-4944-8CA2-74FCDA5F473A}">
  <sheetPr codeName="Hoja22">
    <tabColor rgb="FF0070C0"/>
  </sheetPr>
  <dimension ref="A1:O44"/>
  <sheetViews>
    <sheetView showGridLines="0" showRowColHeaders="0" zoomScale="80" zoomScaleNormal="80" workbookViewId="0"/>
  </sheetViews>
  <sheetFormatPr baseColWidth="10" defaultRowHeight="15" x14ac:dyDescent="0.25"/>
  <cols>
    <col min="1" max="1" width="7.7109375" customWidth="1"/>
    <col min="2" max="2" width="18.7109375" customWidth="1"/>
    <col min="3" max="5" width="16.7109375" customWidth="1"/>
    <col min="6" max="6" width="7.7109375" customWidth="1"/>
    <col min="7" max="7" width="24.7109375" customWidth="1"/>
    <col min="8" max="8" width="7.7109375" customWidth="1"/>
    <col min="9" max="9" width="18.7109375" customWidth="1"/>
    <col min="10" max="12" width="16.7109375" customWidth="1"/>
    <col min="13" max="13" width="7.7109375" customWidth="1"/>
  </cols>
  <sheetData>
    <row r="1" spans="1:13" x14ac:dyDescent="0.25">
      <c r="A1" s="44"/>
      <c r="B1" s="233" t="s">
        <v>294</v>
      </c>
      <c r="C1" s="233"/>
      <c r="D1" s="233"/>
      <c r="E1" s="233"/>
      <c r="F1" s="44"/>
      <c r="H1" s="44"/>
      <c r="I1" s="233" t="s">
        <v>295</v>
      </c>
      <c r="J1" s="233"/>
      <c r="K1" s="233"/>
      <c r="L1" s="233"/>
      <c r="M1" s="44"/>
    </row>
    <row r="2" spans="1:13" ht="15.75" thickBot="1" x14ac:dyDescent="0.3">
      <c r="A2" s="44"/>
      <c r="B2" s="239" t="s">
        <v>298</v>
      </c>
      <c r="C2" s="239"/>
      <c r="D2" s="239"/>
      <c r="E2" s="239"/>
      <c r="F2" s="44"/>
      <c r="H2" s="44"/>
      <c r="I2" s="239" t="s">
        <v>298</v>
      </c>
      <c r="J2" s="239"/>
      <c r="K2" s="239"/>
      <c r="L2" s="239"/>
      <c r="M2" s="44"/>
    </row>
    <row r="3" spans="1:13" ht="15.75" thickTop="1" x14ac:dyDescent="0.25">
      <c r="A3" s="44"/>
      <c r="B3" s="100"/>
      <c r="C3" s="101"/>
      <c r="D3" s="148" t="s">
        <v>11</v>
      </c>
      <c r="E3" s="149">
        <v>100</v>
      </c>
      <c r="F3" s="44"/>
      <c r="H3" s="44"/>
      <c r="I3" s="100"/>
      <c r="J3" s="101"/>
      <c r="K3" s="148" t="s">
        <v>125</v>
      </c>
      <c r="L3" s="149">
        <v>100</v>
      </c>
      <c r="M3" s="44"/>
    </row>
    <row r="4" spans="1:13" x14ac:dyDescent="0.25">
      <c r="A4" s="44"/>
      <c r="B4" s="101"/>
      <c r="C4" s="101"/>
      <c r="D4" s="144" t="s">
        <v>12</v>
      </c>
      <c r="E4" s="107">
        <v>4</v>
      </c>
      <c r="F4" s="44"/>
      <c r="H4" s="44"/>
      <c r="I4" s="101"/>
      <c r="J4" s="101"/>
      <c r="K4" s="144" t="s">
        <v>223</v>
      </c>
      <c r="L4" s="107">
        <v>4</v>
      </c>
      <c r="M4" s="44"/>
    </row>
    <row r="5" spans="1:13" x14ac:dyDescent="0.25">
      <c r="A5" s="44"/>
      <c r="B5" s="100"/>
      <c r="C5" s="101"/>
      <c r="D5" s="106" t="s">
        <v>13</v>
      </c>
      <c r="E5" s="107">
        <v>20</v>
      </c>
      <c r="F5" s="44"/>
      <c r="H5" s="44"/>
      <c r="I5" s="100"/>
      <c r="J5" s="101"/>
      <c r="K5" s="146" t="s">
        <v>296</v>
      </c>
      <c r="L5" s="103">
        <v>2</v>
      </c>
      <c r="M5" s="44"/>
    </row>
    <row r="6" spans="1:13" x14ac:dyDescent="0.25">
      <c r="A6" s="44"/>
      <c r="D6" s="106" t="s">
        <v>46</v>
      </c>
      <c r="E6" s="107">
        <v>4</v>
      </c>
      <c r="F6" s="44"/>
      <c r="H6" s="44"/>
      <c r="K6" s="106" t="s">
        <v>13</v>
      </c>
      <c r="L6" s="107">
        <v>20</v>
      </c>
      <c r="M6" s="44"/>
    </row>
    <row r="7" spans="1:13" x14ac:dyDescent="0.25">
      <c r="A7" s="44"/>
      <c r="D7" s="106" t="s">
        <v>287</v>
      </c>
      <c r="E7" s="107">
        <v>1</v>
      </c>
      <c r="F7" s="44"/>
      <c r="H7" s="44"/>
      <c r="K7" s="106" t="s">
        <v>287</v>
      </c>
      <c r="L7" s="107">
        <v>1</v>
      </c>
      <c r="M7" s="44"/>
    </row>
    <row r="8" spans="1:13" x14ac:dyDescent="0.25">
      <c r="A8" s="44"/>
      <c r="F8" s="44"/>
      <c r="H8" s="44"/>
      <c r="M8" s="44"/>
    </row>
    <row r="9" spans="1:13" x14ac:dyDescent="0.25">
      <c r="A9" s="44"/>
      <c r="B9" s="99" t="s">
        <v>289</v>
      </c>
      <c r="C9" s="96">
        <f xml:space="preserve"> ((E3-E5)^2) / (E4*(E6+1)^2)</f>
        <v>64</v>
      </c>
      <c r="D9" s="99" t="s">
        <v>292</v>
      </c>
      <c r="E9" s="96">
        <f>E3 - E4*((E6-1)*(E3-E5)/(2*E4*E6))</f>
        <v>70</v>
      </c>
      <c r="F9" s="44"/>
      <c r="H9" s="44"/>
      <c r="I9" s="265" t="s">
        <v>186</v>
      </c>
      <c r="J9" s="265"/>
      <c r="K9" s="265"/>
      <c r="L9" s="265"/>
      <c r="M9" s="44"/>
    </row>
    <row r="10" spans="1:13" x14ac:dyDescent="0.25">
      <c r="A10" s="44"/>
      <c r="B10" s="99" t="s">
        <v>297</v>
      </c>
      <c r="C10" s="96">
        <f xml:space="preserve"> ((E3-E5)^2) / (4*E4*E6)</f>
        <v>100</v>
      </c>
      <c r="D10" s="99" t="s">
        <v>290</v>
      </c>
      <c r="E10" s="96">
        <f xml:space="preserve"> (E9-E5)^2 / (4*E4)</f>
        <v>156.25</v>
      </c>
      <c r="F10" s="44"/>
      <c r="H10" s="44"/>
      <c r="I10" s="99" t="s">
        <v>289</v>
      </c>
      <c r="J10" s="96">
        <f xml:space="preserve"> (L3+L4*L6) / (2*L4-L5)</f>
        <v>30</v>
      </c>
      <c r="K10" s="99" t="s">
        <v>290</v>
      </c>
      <c r="L10" s="96">
        <f xml:space="preserve"> (L3+L4*L6+L5*J11) / (2*L4)</f>
        <v>31.25</v>
      </c>
      <c r="M10" s="44"/>
    </row>
    <row r="11" spans="1:13" x14ac:dyDescent="0.25">
      <c r="A11" s="44"/>
      <c r="B11" s="99"/>
      <c r="C11" s="96"/>
      <c r="D11" s="99"/>
      <c r="E11" s="96"/>
      <c r="F11" s="44"/>
      <c r="H11" s="44"/>
      <c r="I11" s="99" t="s">
        <v>297</v>
      </c>
      <c r="J11" s="96">
        <f xml:space="preserve"> (L3+(L4-L5)*L6) / (2*(L4-L5))</f>
        <v>35</v>
      </c>
      <c r="M11" s="44"/>
    </row>
    <row r="12" spans="1:13" x14ac:dyDescent="0.25">
      <c r="A12" s="44"/>
      <c r="C12" s="214" t="s">
        <v>291</v>
      </c>
      <c r="D12" s="211">
        <f xml:space="preserve"> (E10-C10) / (E10-C9)</f>
        <v>0.6097560975609756</v>
      </c>
      <c r="E12" s="96"/>
      <c r="F12" s="44"/>
      <c r="H12" s="44"/>
      <c r="I12" s="99"/>
      <c r="J12" s="96"/>
      <c r="M12" s="44"/>
    </row>
    <row r="13" spans="1:13" x14ac:dyDescent="0.25">
      <c r="A13" s="44"/>
      <c r="C13" s="214" t="s">
        <v>293</v>
      </c>
      <c r="D13" s="211">
        <f>D12 ^ (1/(1+E7))</f>
        <v>0.78086880944303028</v>
      </c>
      <c r="F13" s="44"/>
      <c r="H13" s="44"/>
      <c r="I13" s="265" t="s">
        <v>288</v>
      </c>
      <c r="J13" s="265"/>
      <c r="K13" s="265"/>
      <c r="L13" s="265"/>
      <c r="M13" s="44"/>
    </row>
    <row r="14" spans="1:13" x14ac:dyDescent="0.25">
      <c r="A14" s="44"/>
      <c r="F14" s="44"/>
      <c r="H14" s="44"/>
      <c r="I14" s="99" t="s">
        <v>289</v>
      </c>
      <c r="J14" s="215">
        <f>(J10-L6)*(L3-L4*J10+L5*J10)</f>
        <v>400</v>
      </c>
      <c r="K14" s="216" t="s">
        <v>290</v>
      </c>
      <c r="L14" s="158">
        <f>(L10-L6)*(L3-L4*L10+L5*J11)</f>
        <v>506.25</v>
      </c>
      <c r="M14" s="44"/>
    </row>
    <row r="15" spans="1:13" ht="15.75" thickBot="1" x14ac:dyDescent="0.3">
      <c r="A15" s="44"/>
      <c r="B15" s="239" t="s">
        <v>299</v>
      </c>
      <c r="C15" s="239"/>
      <c r="D15" s="239"/>
      <c r="E15" s="239"/>
      <c r="F15" s="44"/>
      <c r="H15" s="44"/>
      <c r="I15" s="99" t="s">
        <v>297</v>
      </c>
      <c r="J15" s="158">
        <f>(J11-L6)*(L3-L4*J11+L5*J11)</f>
        <v>450</v>
      </c>
      <c r="M15" s="44"/>
    </row>
    <row r="16" spans="1:13" ht="15.75" thickTop="1" x14ac:dyDescent="0.25">
      <c r="A16" s="44"/>
      <c r="B16" s="100"/>
      <c r="C16" s="101"/>
      <c r="D16" s="148" t="s">
        <v>11</v>
      </c>
      <c r="E16" s="149">
        <v>100</v>
      </c>
      <c r="F16" s="44"/>
      <c r="H16" s="44"/>
      <c r="M16" s="44"/>
    </row>
    <row r="17" spans="1:15" x14ac:dyDescent="0.25">
      <c r="A17" s="44"/>
      <c r="B17" s="101"/>
      <c r="C17" s="101"/>
      <c r="D17" s="144" t="s">
        <v>12</v>
      </c>
      <c r="E17" s="107">
        <v>4</v>
      </c>
      <c r="F17" s="44"/>
      <c r="H17" s="44"/>
      <c r="J17" s="214" t="s">
        <v>291</v>
      </c>
      <c r="K17" s="211">
        <f xml:space="preserve"> (L14-J15) / (L14-J14)</f>
        <v>0.52941176470588236</v>
      </c>
      <c r="M17" s="44"/>
    </row>
    <row r="18" spans="1:15" x14ac:dyDescent="0.25">
      <c r="A18" s="44"/>
      <c r="B18" s="100"/>
      <c r="C18" s="101"/>
      <c r="D18" s="106" t="s">
        <v>13</v>
      </c>
      <c r="E18" s="107">
        <v>20</v>
      </c>
      <c r="F18" s="44"/>
      <c r="H18" s="44"/>
      <c r="J18" s="214" t="s">
        <v>293</v>
      </c>
      <c r="K18" s="211">
        <f>K17 ^ (1/(1+L7))</f>
        <v>0.72760687510899891</v>
      </c>
      <c r="M18" s="44"/>
    </row>
    <row r="19" spans="1:15" x14ac:dyDescent="0.25">
      <c r="A19" s="44"/>
      <c r="D19" s="106" t="s">
        <v>46</v>
      </c>
      <c r="E19" s="107">
        <v>4</v>
      </c>
      <c r="F19" s="44"/>
      <c r="H19" s="44"/>
      <c r="M19" s="44"/>
    </row>
    <row r="20" spans="1:15" ht="15.75" thickBot="1" x14ac:dyDescent="0.3">
      <c r="A20" s="44"/>
      <c r="D20" s="106" t="s">
        <v>287</v>
      </c>
      <c r="E20" s="107">
        <v>1</v>
      </c>
      <c r="F20" s="44"/>
      <c r="H20" s="44"/>
      <c r="I20" s="239" t="s">
        <v>299</v>
      </c>
      <c r="J20" s="239"/>
      <c r="K20" s="239"/>
      <c r="L20" s="239"/>
      <c r="M20" s="44"/>
    </row>
    <row r="21" spans="1:15" ht="15.75" thickTop="1" x14ac:dyDescent="0.25">
      <c r="A21" s="44"/>
      <c r="F21" s="44"/>
      <c r="H21" s="44"/>
      <c r="M21" s="44"/>
    </row>
    <row r="22" spans="1:15" x14ac:dyDescent="0.25">
      <c r="A22" s="44"/>
      <c r="B22" s="99" t="s">
        <v>289</v>
      </c>
      <c r="C22" s="96">
        <f xml:space="preserve"> ((E16-E18)^2) / (E17*(E19+1)^2)</f>
        <v>64</v>
      </c>
      <c r="D22" s="99" t="s">
        <v>292</v>
      </c>
      <c r="E22" s="96">
        <f>E16 - E17*((E19-1)*(E16-E18)/(2*E17*E19))</f>
        <v>70</v>
      </c>
      <c r="F22" s="44"/>
      <c r="H22" s="44"/>
      <c r="I22" s="100"/>
      <c r="J22" s="101"/>
      <c r="K22" s="104" t="s">
        <v>125</v>
      </c>
      <c r="L22" s="105">
        <v>100</v>
      </c>
      <c r="M22" s="44"/>
    </row>
    <row r="23" spans="1:15" x14ac:dyDescent="0.25">
      <c r="A23" s="44"/>
      <c r="B23" s="99" t="s">
        <v>297</v>
      </c>
      <c r="C23" s="96">
        <f xml:space="preserve"> ((E16-E18)^2) / (4*E17*E19)</f>
        <v>100</v>
      </c>
      <c r="D23" s="99" t="s">
        <v>290</v>
      </c>
      <c r="E23" s="96">
        <f xml:space="preserve"> (E22-E18)^2 / (4*E17)</f>
        <v>156.25</v>
      </c>
      <c r="F23" s="44"/>
      <c r="H23" s="44"/>
      <c r="I23" s="101"/>
      <c r="J23" s="101"/>
      <c r="K23" s="144" t="s">
        <v>223</v>
      </c>
      <c r="L23" s="107">
        <v>4</v>
      </c>
      <c r="M23" s="44"/>
    </row>
    <row r="24" spans="1:15" x14ac:dyDescent="0.25">
      <c r="A24" s="44"/>
      <c r="B24" s="99"/>
      <c r="C24" s="96"/>
      <c r="D24" s="99"/>
      <c r="E24" s="96"/>
      <c r="F24" s="44"/>
      <c r="H24" s="44"/>
      <c r="I24" s="100"/>
      <c r="J24" s="101"/>
      <c r="K24" s="146" t="s">
        <v>296</v>
      </c>
      <c r="L24" s="103">
        <v>2</v>
      </c>
      <c r="M24" s="44"/>
    </row>
    <row r="25" spans="1:15" x14ac:dyDescent="0.25">
      <c r="A25" s="44"/>
      <c r="C25" s="214" t="s">
        <v>291</v>
      </c>
      <c r="D25" s="211">
        <f xml:space="preserve"> (E23-C23) / (E23-C22)</f>
        <v>0.6097560975609756</v>
      </c>
      <c r="E25" s="96"/>
      <c r="F25" s="44"/>
      <c r="H25" s="44"/>
      <c r="K25" s="106" t="s">
        <v>13</v>
      </c>
      <c r="L25" s="107">
        <v>20</v>
      </c>
      <c r="M25" s="44"/>
    </row>
    <row r="26" spans="1:15" x14ac:dyDescent="0.25">
      <c r="A26" s="44"/>
      <c r="C26" s="214" t="s">
        <v>293</v>
      </c>
      <c r="D26" s="211">
        <f>D25 ^ (1/(1+E20))</f>
        <v>0.78086880944303028</v>
      </c>
      <c r="F26" s="44"/>
      <c r="H26" s="44"/>
      <c r="K26" s="106" t="s">
        <v>287</v>
      </c>
      <c r="L26" s="107">
        <v>1</v>
      </c>
      <c r="M26" s="44"/>
    </row>
    <row r="27" spans="1:15" x14ac:dyDescent="0.25">
      <c r="A27" s="44"/>
      <c r="F27" s="44"/>
      <c r="H27" s="44"/>
      <c r="M27" s="44"/>
    </row>
    <row r="28" spans="1:15" ht="15.75" thickBot="1" x14ac:dyDescent="0.3">
      <c r="A28" s="44"/>
      <c r="B28" s="239" t="s">
        <v>303</v>
      </c>
      <c r="C28" s="239"/>
      <c r="D28" s="239"/>
      <c r="E28" s="239"/>
      <c r="F28" s="44"/>
      <c r="H28" s="44"/>
      <c r="I28" s="265" t="s">
        <v>186</v>
      </c>
      <c r="J28" s="265"/>
      <c r="K28" s="265"/>
      <c r="L28" s="265"/>
      <c r="M28" s="44"/>
    </row>
    <row r="29" spans="1:15" ht="15.75" thickTop="1" x14ac:dyDescent="0.25">
      <c r="A29" s="44"/>
      <c r="B29" s="99" t="s">
        <v>301</v>
      </c>
      <c r="C29" s="211">
        <f xml:space="preserve"> (D32^(1+E7)) * (E10-C9) + (D32^(1+E20)) * (E23-C22)</f>
        <v>112.50000088093221</v>
      </c>
      <c r="D29" s="99" t="s">
        <v>302</v>
      </c>
      <c r="E29" s="211">
        <f>(E10-C10) + (E23-C23)</f>
        <v>112.5</v>
      </c>
      <c r="F29" s="44"/>
      <c r="H29" s="44"/>
      <c r="I29" s="99" t="s">
        <v>289</v>
      </c>
      <c r="J29" s="96">
        <f xml:space="preserve"> (L22+L23*L25) / (2*L23-L24)</f>
        <v>30</v>
      </c>
      <c r="K29" s="99" t="s">
        <v>290</v>
      </c>
      <c r="L29" s="96">
        <f xml:space="preserve"> (L22+L23*L25+L24*J30) / (2*L23)</f>
        <v>31.25</v>
      </c>
      <c r="M29" s="44"/>
    </row>
    <row r="30" spans="1:15" x14ac:dyDescent="0.25">
      <c r="A30" s="44"/>
      <c r="F30" s="44"/>
      <c r="H30" s="44"/>
      <c r="I30" s="99" t="s">
        <v>297</v>
      </c>
      <c r="J30" s="96">
        <f xml:space="preserve"> (L22+(L23-L24)*L25) / (2*(L23-L24))</f>
        <v>35</v>
      </c>
      <c r="M30" s="44"/>
      <c r="O30" s="211"/>
    </row>
    <row r="31" spans="1:15" x14ac:dyDescent="0.25">
      <c r="A31" s="44"/>
      <c r="C31" s="99" t="s">
        <v>15</v>
      </c>
      <c r="D31" s="211">
        <f>C29-E29</f>
        <v>8.8093220540486072E-7</v>
      </c>
      <c r="F31" s="44"/>
      <c r="H31" s="44"/>
      <c r="I31" s="99"/>
      <c r="J31" s="96"/>
      <c r="M31" s="44"/>
    </row>
    <row r="32" spans="1:15" x14ac:dyDescent="0.25">
      <c r="A32" s="44"/>
      <c r="C32" s="214" t="s">
        <v>300</v>
      </c>
      <c r="D32" s="211">
        <v>0.78086881250033024</v>
      </c>
      <c r="F32" s="44"/>
      <c r="H32" s="44"/>
      <c r="I32" s="265" t="s">
        <v>288</v>
      </c>
      <c r="J32" s="265"/>
      <c r="K32" s="265"/>
      <c r="L32" s="265"/>
      <c r="M32" s="44"/>
    </row>
    <row r="33" spans="1:13" x14ac:dyDescent="0.25">
      <c r="A33" s="44"/>
      <c r="B33" s="44"/>
      <c r="C33" s="44"/>
      <c r="D33" s="44"/>
      <c r="E33" s="44"/>
      <c r="F33" s="44"/>
      <c r="H33" s="44"/>
      <c r="I33" s="99" t="s">
        <v>289</v>
      </c>
      <c r="J33" s="215">
        <f>(J29-L25)*(L22-L23*J29+L24*J29)</f>
        <v>400</v>
      </c>
      <c r="K33" s="216" t="s">
        <v>290</v>
      </c>
      <c r="L33" s="158">
        <f>(L29-L25)*(L22-L23*L29+L24*J30)</f>
        <v>506.25</v>
      </c>
      <c r="M33" s="44"/>
    </row>
    <row r="34" spans="1:13" x14ac:dyDescent="0.25">
      <c r="H34" s="44"/>
      <c r="I34" s="99" t="s">
        <v>297</v>
      </c>
      <c r="J34" s="158">
        <f>(J30-L25)*(L22-L23*J30+L24*J30)</f>
        <v>450</v>
      </c>
      <c r="M34" s="44"/>
    </row>
    <row r="35" spans="1:13" x14ac:dyDescent="0.25">
      <c r="H35" s="44"/>
      <c r="M35" s="44"/>
    </row>
    <row r="36" spans="1:13" x14ac:dyDescent="0.25">
      <c r="H36" s="44"/>
      <c r="J36" s="214" t="s">
        <v>291</v>
      </c>
      <c r="K36" s="211">
        <f xml:space="preserve"> (L33-J34) / (L33-J33)</f>
        <v>0.52941176470588236</v>
      </c>
      <c r="M36" s="44"/>
    </row>
    <row r="37" spans="1:13" x14ac:dyDescent="0.25">
      <c r="H37" s="44"/>
      <c r="J37" s="214" t="s">
        <v>293</v>
      </c>
      <c r="K37" s="211">
        <f>K36 ^ (1/(1+L26))</f>
        <v>0.72760687510899891</v>
      </c>
      <c r="M37" s="44"/>
    </row>
    <row r="38" spans="1:13" x14ac:dyDescent="0.25">
      <c r="H38" s="44"/>
      <c r="M38" s="44"/>
    </row>
    <row r="39" spans="1:13" ht="15.75" thickBot="1" x14ac:dyDescent="0.3">
      <c r="H39" s="44"/>
      <c r="I39" s="239" t="s">
        <v>303</v>
      </c>
      <c r="J39" s="239"/>
      <c r="K39" s="239"/>
      <c r="L39" s="239"/>
      <c r="M39" s="44"/>
    </row>
    <row r="40" spans="1:13" ht="15.75" thickTop="1" x14ac:dyDescent="0.25">
      <c r="H40" s="44"/>
      <c r="I40" s="99" t="s">
        <v>301</v>
      </c>
      <c r="J40" s="211">
        <f xml:space="preserve"> (K43^(1+L7)) * (L14-J14) + (K43^(1+L26)) * (L33-J33)</f>
        <v>112.5</v>
      </c>
      <c r="K40" s="99" t="s">
        <v>302</v>
      </c>
      <c r="L40" s="211">
        <f>(L14-J15) + (L33-J34)</f>
        <v>112.5</v>
      </c>
      <c r="M40" s="44"/>
    </row>
    <row r="41" spans="1:13" x14ac:dyDescent="0.25">
      <c r="H41" s="44"/>
      <c r="M41" s="44"/>
    </row>
    <row r="42" spans="1:13" x14ac:dyDescent="0.25">
      <c r="H42" s="44"/>
      <c r="J42" s="99" t="s">
        <v>15</v>
      </c>
      <c r="K42" s="211">
        <f>J40-L40</f>
        <v>0</v>
      </c>
      <c r="M42" s="44"/>
    </row>
    <row r="43" spans="1:13" x14ac:dyDescent="0.25">
      <c r="H43" s="44"/>
      <c r="J43" s="214" t="s">
        <v>300</v>
      </c>
      <c r="K43" s="211">
        <v>0.72760687510899891</v>
      </c>
      <c r="M43" s="44"/>
    </row>
    <row r="44" spans="1:13" x14ac:dyDescent="0.25">
      <c r="H44" s="44"/>
      <c r="I44" s="44"/>
      <c r="J44" s="44"/>
      <c r="K44" s="44"/>
      <c r="L44" s="44"/>
      <c r="M44" s="44"/>
    </row>
  </sheetData>
  <mergeCells count="12">
    <mergeCell ref="I32:L32"/>
    <mergeCell ref="I39:L39"/>
    <mergeCell ref="I13:L13"/>
    <mergeCell ref="I20:L20"/>
    <mergeCell ref="I9:L9"/>
    <mergeCell ref="I2:L2"/>
    <mergeCell ref="B15:E15"/>
    <mergeCell ref="B28:E28"/>
    <mergeCell ref="I28:L28"/>
    <mergeCell ref="B1:E1"/>
    <mergeCell ref="I1:L1"/>
    <mergeCell ref="B2:E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1" r:id="rId3" name="Button 11">
              <controlPr defaultSize="0" print="0" autoFill="0" autoPict="0" macro="[0]!Colusion">
                <anchor moveWithCells="1" sizeWithCells="1">
                  <from>
                    <xdr:col>6</xdr:col>
                    <xdr:colOff>38100</xdr:colOff>
                    <xdr:row>0</xdr:row>
                    <xdr:rowOff>28575</xdr:rowOff>
                  </from>
                  <to>
                    <xdr:col>6</xdr:col>
                    <xdr:colOff>1628775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0A775-80EE-4048-988D-E927FED8484A}">
  <sheetPr codeName="Hoja23">
    <tabColor rgb="FF0070C0"/>
  </sheetPr>
  <dimension ref="A1:N28"/>
  <sheetViews>
    <sheetView showGridLines="0" showRowColHeaders="0" zoomScale="80" zoomScaleNormal="80" workbookViewId="0"/>
  </sheetViews>
  <sheetFormatPr baseColWidth="10" defaultRowHeight="15" x14ac:dyDescent="0.25"/>
  <cols>
    <col min="1" max="1" width="7.7109375" customWidth="1"/>
    <col min="2" max="5" width="14.7109375" customWidth="1"/>
    <col min="6" max="6" width="7.7109375" customWidth="1"/>
    <col min="7" max="8" width="12.7109375" customWidth="1"/>
    <col min="9" max="9" width="7.7109375" customWidth="1"/>
    <col min="10" max="10" width="18.7109375" customWidth="1"/>
    <col min="11" max="11" width="14.7109375" customWidth="1"/>
    <col min="12" max="12" width="18.28515625" customWidth="1"/>
    <col min="13" max="13" width="14.7109375" customWidth="1"/>
    <col min="14" max="14" width="7.7109375" customWidth="1"/>
  </cols>
  <sheetData>
    <row r="1" spans="1:14" x14ac:dyDescent="0.25">
      <c r="A1" s="2"/>
      <c r="B1" s="236" t="s">
        <v>304</v>
      </c>
      <c r="C1" s="236"/>
      <c r="D1" s="236"/>
      <c r="E1" s="236"/>
      <c r="F1" s="2"/>
      <c r="I1" s="2"/>
      <c r="J1" s="236" t="s">
        <v>314</v>
      </c>
      <c r="K1" s="236"/>
      <c r="L1" s="236"/>
      <c r="M1" s="236"/>
      <c r="N1" s="2"/>
    </row>
    <row r="2" spans="1:14" x14ac:dyDescent="0.25">
      <c r="A2" s="2"/>
      <c r="B2" s="100"/>
      <c r="C2" s="101"/>
      <c r="D2" s="104" t="s">
        <v>11</v>
      </c>
      <c r="E2" s="105">
        <v>100</v>
      </c>
      <c r="F2" s="2"/>
      <c r="I2" s="2"/>
      <c r="J2" s="100"/>
      <c r="K2" s="101"/>
      <c r="L2" s="104" t="s">
        <v>11</v>
      </c>
      <c r="M2" s="105">
        <v>9</v>
      </c>
      <c r="N2" s="2"/>
    </row>
    <row r="3" spans="1:14" x14ac:dyDescent="0.25">
      <c r="A3" s="2"/>
      <c r="B3" s="101"/>
      <c r="C3" s="101"/>
      <c r="D3" s="144" t="s">
        <v>12</v>
      </c>
      <c r="E3" s="107">
        <v>1</v>
      </c>
      <c r="F3" s="2"/>
      <c r="I3" s="2"/>
      <c r="J3" s="101"/>
      <c r="K3" s="101"/>
      <c r="L3" s="144" t="s">
        <v>12</v>
      </c>
      <c r="M3" s="107">
        <v>1</v>
      </c>
      <c r="N3" s="2"/>
    </row>
    <row r="4" spans="1:14" x14ac:dyDescent="0.25">
      <c r="A4" s="2"/>
      <c r="B4" s="100"/>
      <c r="C4" s="101"/>
      <c r="D4" s="106" t="s">
        <v>13</v>
      </c>
      <c r="E4" s="107">
        <v>2</v>
      </c>
      <c r="F4" s="2"/>
      <c r="I4" s="2"/>
      <c r="J4" s="100"/>
      <c r="K4" s="101"/>
      <c r="L4" s="106" t="s">
        <v>315</v>
      </c>
      <c r="M4" s="107">
        <v>1</v>
      </c>
      <c r="N4" s="2"/>
    </row>
    <row r="5" spans="1:14" x14ac:dyDescent="0.25">
      <c r="A5" s="2"/>
      <c r="D5" s="108" t="s">
        <v>131</v>
      </c>
      <c r="E5" s="109">
        <v>50</v>
      </c>
      <c r="F5" s="2"/>
      <c r="I5" s="2"/>
      <c r="L5" s="108" t="s">
        <v>316</v>
      </c>
      <c r="M5" s="109">
        <v>3</v>
      </c>
      <c r="N5" s="2"/>
    </row>
    <row r="6" spans="1:14" x14ac:dyDescent="0.25">
      <c r="A6" s="2"/>
      <c r="D6" s="102" t="s">
        <v>17</v>
      </c>
      <c r="E6" s="114">
        <v>0</v>
      </c>
      <c r="F6" s="2"/>
      <c r="I6" s="2"/>
      <c r="L6" s="148" t="s">
        <v>317</v>
      </c>
      <c r="M6" s="149">
        <v>2</v>
      </c>
      <c r="N6" s="2"/>
    </row>
    <row r="7" spans="1:14" x14ac:dyDescent="0.25">
      <c r="A7" s="2"/>
      <c r="F7" s="2"/>
      <c r="I7" s="2"/>
      <c r="L7" s="102" t="s">
        <v>331</v>
      </c>
      <c r="M7" s="114">
        <v>0.9</v>
      </c>
      <c r="N7" s="2"/>
    </row>
    <row r="8" spans="1:14" ht="15.75" thickBot="1" x14ac:dyDescent="0.3">
      <c r="A8" s="2"/>
      <c r="B8" s="239" t="s">
        <v>305</v>
      </c>
      <c r="C8" s="239"/>
      <c r="D8" s="239"/>
      <c r="E8" s="239"/>
      <c r="F8" s="2"/>
      <c r="I8" s="2"/>
      <c r="N8" s="2"/>
    </row>
    <row r="9" spans="1:14" ht="16.5" thickTop="1" thickBot="1" x14ac:dyDescent="0.3">
      <c r="A9" s="2"/>
      <c r="F9" s="2"/>
      <c r="I9" s="2"/>
      <c r="J9" s="239" t="s">
        <v>39</v>
      </c>
      <c r="K9" s="239"/>
      <c r="L9" s="239"/>
      <c r="M9" s="239"/>
      <c r="N9" s="2"/>
    </row>
    <row r="10" spans="1:14" ht="15.75" thickTop="1" x14ac:dyDescent="0.25">
      <c r="A10" s="2"/>
      <c r="B10" t="s">
        <v>308</v>
      </c>
      <c r="C10" s="96">
        <v>48.999999638740491</v>
      </c>
      <c r="D10" s="99" t="s">
        <v>307</v>
      </c>
      <c r="E10" s="96">
        <f>C10+C11</f>
        <v>73.499999819370245</v>
      </c>
      <c r="F10" s="2"/>
      <c r="I10" s="2"/>
      <c r="K10" s="140"/>
      <c r="L10" s="140"/>
      <c r="N10" s="2"/>
    </row>
    <row r="11" spans="1:14" x14ac:dyDescent="0.25">
      <c r="A11" s="2"/>
      <c r="B11" s="99" t="s">
        <v>306</v>
      </c>
      <c r="C11" s="96">
        <f>(E2-E4-(E3*C10)) / (2*E3)</f>
        <v>24.500000180629755</v>
      </c>
      <c r="D11" s="99" t="s">
        <v>243</v>
      </c>
      <c r="E11" s="96">
        <f>E2-E3*E10</f>
        <v>26.500000180629755</v>
      </c>
      <c r="F11" s="2"/>
      <c r="I11" s="2"/>
      <c r="K11" s="99" t="s">
        <v>320</v>
      </c>
      <c r="L11" s="220">
        <f>((M2-M5)^2)/(4*M3)</f>
        <v>9</v>
      </c>
      <c r="N11" s="2"/>
    </row>
    <row r="12" spans="1:14" x14ac:dyDescent="0.25">
      <c r="A12" s="2"/>
      <c r="B12" s="99"/>
      <c r="C12" s="96"/>
      <c r="F12" s="2"/>
      <c r="I12" s="2"/>
      <c r="K12" s="99" t="s">
        <v>319</v>
      </c>
      <c r="L12" s="220">
        <f>((M2-2*M5+M6)^2) / (9*M3)</f>
        <v>2.7777777777777777</v>
      </c>
      <c r="N12" s="2"/>
    </row>
    <row r="13" spans="1:14" x14ac:dyDescent="0.25">
      <c r="A13" s="2"/>
      <c r="C13" s="99" t="s">
        <v>311</v>
      </c>
      <c r="D13" s="158">
        <f>(E11-E4)*C10-E5</f>
        <v>1150.5</v>
      </c>
      <c r="E13" s="96"/>
      <c r="F13" s="2"/>
      <c r="I13" s="2"/>
      <c r="K13" s="99" t="s">
        <v>321</v>
      </c>
      <c r="L13" s="220">
        <f>((M2-M4)^2)/(4*M3)</f>
        <v>16</v>
      </c>
      <c r="N13" s="2"/>
    </row>
    <row r="14" spans="1:14" x14ac:dyDescent="0.25">
      <c r="A14" s="2"/>
      <c r="C14" s="99" t="s">
        <v>310</v>
      </c>
      <c r="D14" s="211">
        <f>(E11-E4)*C11-E5</f>
        <v>550.25000885085797</v>
      </c>
      <c r="E14" s="96"/>
      <c r="F14" s="2"/>
      <c r="I14" s="2"/>
      <c r="K14" s="99" t="s">
        <v>318</v>
      </c>
      <c r="L14" s="220">
        <f>((M2-2*M4+M6)^2) / (9*M3)</f>
        <v>9</v>
      </c>
      <c r="N14" s="2"/>
    </row>
    <row r="15" spans="1:14" x14ac:dyDescent="0.25">
      <c r="A15" s="2"/>
      <c r="F15" s="2"/>
      <c r="I15" s="2"/>
      <c r="N15" s="2"/>
    </row>
    <row r="16" spans="1:14" ht="15.75" thickBot="1" x14ac:dyDescent="0.3">
      <c r="A16" s="2"/>
      <c r="B16" s="239" t="s">
        <v>309</v>
      </c>
      <c r="C16" s="239"/>
      <c r="D16" s="239"/>
      <c r="E16" s="239"/>
      <c r="F16" s="2"/>
      <c r="I16" s="2"/>
      <c r="J16" s="239" t="s">
        <v>186</v>
      </c>
      <c r="K16" s="239"/>
      <c r="L16" s="239"/>
      <c r="M16" s="239"/>
      <c r="N16" s="2"/>
    </row>
    <row r="17" spans="1:14" ht="15.75" thickTop="1" x14ac:dyDescent="0.25">
      <c r="A17" s="2"/>
      <c r="C17" s="99"/>
      <c r="D17" s="217"/>
      <c r="F17" s="2"/>
      <c r="I17" s="2"/>
      <c r="K17" s="99"/>
      <c r="L17" s="217"/>
      <c r="N17" s="2"/>
    </row>
    <row r="18" spans="1:14" x14ac:dyDescent="0.25">
      <c r="A18" s="2"/>
      <c r="B18" s="99" t="s">
        <v>308</v>
      </c>
      <c r="C18" s="96">
        <v>83.857864363121379</v>
      </c>
      <c r="D18" s="99" t="s">
        <v>307</v>
      </c>
      <c r="E18" s="96">
        <f>C18+C19</f>
        <v>90.928932181560697</v>
      </c>
      <c r="F18" s="2"/>
      <c r="I18" s="2"/>
      <c r="J18" s="221" t="s">
        <v>322</v>
      </c>
      <c r="K18" s="96"/>
      <c r="N18" s="2"/>
    </row>
    <row r="19" spans="1:14" x14ac:dyDescent="0.25">
      <c r="A19" s="2"/>
      <c r="B19" s="99" t="s">
        <v>306</v>
      </c>
      <c r="C19" s="96">
        <f>MAX((E2-E4-(E3*C18))/(2*E3), 0)</f>
        <v>7.0710678184393103</v>
      </c>
      <c r="D19" s="99" t="s">
        <v>243</v>
      </c>
      <c r="E19" s="96">
        <f>E2-E3*E18</f>
        <v>9.0710678184393032</v>
      </c>
      <c r="F19" s="2"/>
      <c r="I19" s="2"/>
      <c r="J19" s="99" t="s">
        <v>323</v>
      </c>
      <c r="K19" s="96">
        <f>L11+M7*L12</f>
        <v>11.5</v>
      </c>
      <c r="L19" s="99" t="s">
        <v>324</v>
      </c>
      <c r="M19" s="96">
        <f>( (K20-M5)*((M2-K20)/M3) ) + (M7*L11)</f>
        <v>11.500013494363902</v>
      </c>
      <c r="N19" s="2"/>
    </row>
    <row r="20" spans="1:14" x14ac:dyDescent="0.25">
      <c r="A20" s="2"/>
      <c r="B20" s="99"/>
      <c r="C20" s="96"/>
      <c r="F20" s="2"/>
      <c r="I20" s="2"/>
      <c r="J20" s="99" t="s">
        <v>327</v>
      </c>
      <c r="K20" s="211">
        <v>3.6335709379666379</v>
      </c>
      <c r="L20" s="99" t="s">
        <v>325</v>
      </c>
      <c r="M20" s="219">
        <f>K19-M19</f>
        <v>-1.3494363901855877E-5</v>
      </c>
      <c r="N20" s="2"/>
    </row>
    <row r="21" spans="1:14" x14ac:dyDescent="0.25">
      <c r="A21" s="2"/>
      <c r="C21" s="99" t="s">
        <v>311</v>
      </c>
      <c r="D21" s="211">
        <f>(E19-E4)*C18-E5</f>
        <v>542.96464602111564</v>
      </c>
      <c r="E21" s="96"/>
      <c r="F21" s="2"/>
      <c r="I21" s="2"/>
      <c r="N21" s="2"/>
    </row>
    <row r="22" spans="1:14" x14ac:dyDescent="0.25">
      <c r="A22" s="2"/>
      <c r="C22" s="99" t="s">
        <v>310</v>
      </c>
      <c r="D22" s="218">
        <f>(E19-E4)*C19-E5</f>
        <v>9.2968015508176904E-8</v>
      </c>
      <c r="F22" s="2"/>
      <c r="I22" s="2"/>
      <c r="J22" s="221" t="s">
        <v>326</v>
      </c>
      <c r="K22" s="99"/>
      <c r="N22" s="2"/>
    </row>
    <row r="23" spans="1:14" x14ac:dyDescent="0.25">
      <c r="A23" s="2"/>
      <c r="C23" s="99"/>
      <c r="D23" s="218"/>
      <c r="F23" s="2"/>
      <c r="I23" s="2"/>
      <c r="J23" s="99" t="s">
        <v>323</v>
      </c>
      <c r="K23" s="158">
        <f>L13+M7*L14</f>
        <v>24.1</v>
      </c>
      <c r="L23" s="99" t="s">
        <v>324</v>
      </c>
      <c r="M23" s="96">
        <f>( (K24-M4)*((M2-K24)/M3) ) + (M7*L13)</f>
        <v>24.10000576976951</v>
      </c>
      <c r="N23" s="2"/>
    </row>
    <row r="24" spans="1:14" x14ac:dyDescent="0.25">
      <c r="A24" s="2"/>
      <c r="C24" s="99" t="s">
        <v>312</v>
      </c>
      <c r="D24" s="211">
        <f xml:space="preserve"> ((E2-E3*C18)-E4)*C18 -E5</f>
        <v>1135.9292920422326</v>
      </c>
      <c r="F24" s="2"/>
      <c r="I24" s="2"/>
      <c r="J24" s="99" t="s">
        <v>327</v>
      </c>
      <c r="K24" s="211">
        <v>2.490021069763634</v>
      </c>
      <c r="L24" s="99" t="s">
        <v>325</v>
      </c>
      <c r="M24" s="219">
        <f>K23-M23</f>
        <v>-5.7697695083902545E-6</v>
      </c>
      <c r="N24" s="2"/>
    </row>
    <row r="25" spans="1:14" x14ac:dyDescent="0.25">
      <c r="A25" s="2"/>
      <c r="C25" s="99"/>
      <c r="D25" s="211"/>
      <c r="F25" s="2"/>
      <c r="I25" s="2"/>
      <c r="N25" s="2"/>
    </row>
    <row r="26" spans="1:14" ht="15.75" thickBot="1" x14ac:dyDescent="0.3">
      <c r="A26" s="2"/>
      <c r="B26" s="239" t="s">
        <v>313</v>
      </c>
      <c r="C26" s="239"/>
      <c r="D26" s="239"/>
      <c r="E26" s="239"/>
      <c r="F26" s="2"/>
      <c r="I26" s="2"/>
      <c r="J26" s="267" t="s">
        <v>328</v>
      </c>
      <c r="K26" s="267"/>
      <c r="L26" s="267"/>
      <c r="M26" s="267"/>
      <c r="N26" s="2"/>
    </row>
    <row r="27" spans="1:14" ht="15.75" thickTop="1" x14ac:dyDescent="0.25">
      <c r="A27" s="2"/>
      <c r="C27" s="266" t="str">
        <f>IF(D13&gt;D24,"ACOMODACION","DISUACION")</f>
        <v>ACOMODACION</v>
      </c>
      <c r="D27" s="266"/>
      <c r="F27" s="2"/>
      <c r="I27" s="2"/>
      <c r="J27" s="158" t="s">
        <v>329</v>
      </c>
      <c r="K27" s="119">
        <f>K24</f>
        <v>2.490021069763634</v>
      </c>
      <c r="L27" s="180">
        <f>K20</f>
        <v>3.6335709379666379</v>
      </c>
      <c r="M27" s="118" t="s">
        <v>330</v>
      </c>
      <c r="N27" s="2"/>
    </row>
    <row r="28" spans="1:14" x14ac:dyDescent="0.25">
      <c r="A28" s="2"/>
      <c r="B28" s="2"/>
      <c r="C28" s="2"/>
      <c r="D28" s="2"/>
      <c r="E28" s="2"/>
      <c r="F28" s="2"/>
      <c r="I28" s="2"/>
      <c r="J28" s="2"/>
      <c r="K28" s="2"/>
      <c r="L28" s="2"/>
      <c r="M28" s="2"/>
      <c r="N28" s="2"/>
    </row>
  </sheetData>
  <mergeCells count="9">
    <mergeCell ref="C27:D27"/>
    <mergeCell ref="J1:M1"/>
    <mergeCell ref="J9:M9"/>
    <mergeCell ref="J16:M16"/>
    <mergeCell ref="J26:M26"/>
    <mergeCell ref="B1:E1"/>
    <mergeCell ref="B8:E8"/>
    <mergeCell ref="B16:E16"/>
    <mergeCell ref="B26:E2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PreciosLimitantes">
                <anchor moveWithCells="1" sizeWithCells="1">
                  <from>
                    <xdr:col>6</xdr:col>
                    <xdr:colOff>76200</xdr:colOff>
                    <xdr:row>0</xdr:row>
                    <xdr:rowOff>0</xdr:rowOff>
                  </from>
                  <to>
                    <xdr:col>7</xdr:col>
                    <xdr:colOff>790575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30DF3-BAAE-49D0-A970-0CCBA7A1C2CE}">
  <sheetPr codeName="Hoja24">
    <tabColor rgb="FF0070C0"/>
  </sheetPr>
  <dimension ref="A1:D24"/>
  <sheetViews>
    <sheetView showGridLines="0" showRowColHeaders="0" zoomScale="90" zoomScaleNormal="90" workbookViewId="0"/>
  </sheetViews>
  <sheetFormatPr baseColWidth="10" defaultRowHeight="15" x14ac:dyDescent="0.25"/>
  <cols>
    <col min="1" max="1" width="7.7109375" customWidth="1"/>
    <col min="2" max="2" width="33.7109375" customWidth="1"/>
    <col min="3" max="3" width="15.7109375" style="101" customWidth="1"/>
    <col min="4" max="4" width="7.7109375" customWidth="1"/>
  </cols>
  <sheetData>
    <row r="1" spans="1:4" x14ac:dyDescent="0.25">
      <c r="A1" s="2"/>
      <c r="B1" s="268" t="s">
        <v>343</v>
      </c>
      <c r="C1" s="268"/>
      <c r="D1" s="2"/>
    </row>
    <row r="2" spans="1:4" x14ac:dyDescent="0.25">
      <c r="A2" s="2"/>
      <c r="D2" s="2"/>
    </row>
    <row r="3" spans="1:4" x14ac:dyDescent="0.25">
      <c r="A3" s="2"/>
      <c r="D3" s="2"/>
    </row>
    <row r="4" spans="1:4" x14ac:dyDescent="0.25">
      <c r="A4" s="2"/>
      <c r="B4" s="110" t="s">
        <v>339</v>
      </c>
      <c r="C4" s="105">
        <v>8</v>
      </c>
      <c r="D4" s="2"/>
    </row>
    <row r="5" spans="1:4" x14ac:dyDescent="0.25">
      <c r="A5" s="2"/>
      <c r="B5" s="102" t="s">
        <v>342</v>
      </c>
      <c r="C5" s="107">
        <v>4</v>
      </c>
      <c r="D5" s="2"/>
    </row>
    <row r="6" spans="1:4" x14ac:dyDescent="0.25">
      <c r="A6" s="2"/>
      <c r="B6" s="173" t="s">
        <v>337</v>
      </c>
      <c r="C6" s="149">
        <v>0.5</v>
      </c>
      <c r="D6" s="2"/>
    </row>
    <row r="7" spans="1:4" x14ac:dyDescent="0.25">
      <c r="A7" s="2"/>
      <c r="B7" s="102" t="s">
        <v>338</v>
      </c>
      <c r="C7" s="107">
        <v>0.5</v>
      </c>
      <c r="D7" s="2"/>
    </row>
    <row r="8" spans="1:4" x14ac:dyDescent="0.25">
      <c r="A8" s="2"/>
      <c r="D8" s="2"/>
    </row>
    <row r="9" spans="1:4" ht="15.75" thickBot="1" x14ac:dyDescent="0.3">
      <c r="A9" s="2"/>
      <c r="B9" s="239" t="s">
        <v>332</v>
      </c>
      <c r="C9" s="239"/>
      <c r="D9" s="2"/>
    </row>
    <row r="10" spans="1:4" ht="15.75" thickTop="1" x14ac:dyDescent="0.25">
      <c r="A10" s="2"/>
      <c r="B10" s="99" t="s">
        <v>340</v>
      </c>
      <c r="C10" s="100">
        <f>C6*C4</f>
        <v>4</v>
      </c>
      <c r="D10" s="2"/>
    </row>
    <row r="11" spans="1:4" x14ac:dyDescent="0.25">
      <c r="A11" s="2"/>
      <c r="B11" s="99" t="s">
        <v>341</v>
      </c>
      <c r="C11" s="100">
        <f>(1-C6)*C5</f>
        <v>2</v>
      </c>
      <c r="D11" s="2"/>
    </row>
    <row r="12" spans="1:4" x14ac:dyDescent="0.25">
      <c r="A12" s="2"/>
      <c r="B12" s="99" t="s">
        <v>333</v>
      </c>
      <c r="C12" s="100">
        <f>(C4*C10)-((C10^2)/2) + (C5*C11) - ((C11^2)/2)</f>
        <v>30</v>
      </c>
      <c r="D12" s="2"/>
    </row>
    <row r="13" spans="1:4" x14ac:dyDescent="0.25">
      <c r="A13" s="2"/>
      <c r="D13" s="2"/>
    </row>
    <row r="14" spans="1:4" ht="15.75" thickBot="1" x14ac:dyDescent="0.3">
      <c r="A14" s="2"/>
      <c r="B14" s="239" t="s">
        <v>334</v>
      </c>
      <c r="C14" s="239"/>
      <c r="D14" s="2"/>
    </row>
    <row r="15" spans="1:4" ht="15.75" thickTop="1" x14ac:dyDescent="0.25">
      <c r="A15" s="2"/>
      <c r="D15" s="2"/>
    </row>
    <row r="16" spans="1:4" x14ac:dyDescent="0.25">
      <c r="A16" s="2"/>
      <c r="B16" s="99" t="s">
        <v>340</v>
      </c>
      <c r="C16" s="100">
        <f>0.5*(C4+C7*C4) + 0.5*(C4)</f>
        <v>10</v>
      </c>
      <c r="D16" s="2"/>
    </row>
    <row r="17" spans="1:4" x14ac:dyDescent="0.25">
      <c r="A17" s="2"/>
      <c r="B17" s="99" t="s">
        <v>341</v>
      </c>
      <c r="C17" s="100">
        <f>0</f>
        <v>0</v>
      </c>
      <c r="D17" s="2"/>
    </row>
    <row r="18" spans="1:4" x14ac:dyDescent="0.25">
      <c r="A18" s="2"/>
      <c r="B18" s="99" t="s">
        <v>335</v>
      </c>
      <c r="C18" s="100">
        <f>(C4*C16) - ((C16^2)/2)</f>
        <v>30</v>
      </c>
      <c r="D18" s="2"/>
    </row>
    <row r="19" spans="1:4" x14ac:dyDescent="0.25">
      <c r="A19" s="2"/>
      <c r="B19" s="99"/>
      <c r="D19" s="2"/>
    </row>
    <row r="20" spans="1:4" ht="15.75" thickBot="1" x14ac:dyDescent="0.3">
      <c r="A20" s="2"/>
      <c r="B20" s="239" t="s">
        <v>336</v>
      </c>
      <c r="C20" s="239"/>
      <c r="D20" s="2"/>
    </row>
    <row r="21" spans="1:4" ht="15.75" thickTop="1" x14ac:dyDescent="0.25">
      <c r="A21" s="2"/>
      <c r="B21" s="99" t="s">
        <v>340</v>
      </c>
      <c r="C21" s="100">
        <v>0</v>
      </c>
      <c r="D21" s="2"/>
    </row>
    <row r="22" spans="1:4" x14ac:dyDescent="0.25">
      <c r="A22" s="2"/>
      <c r="B22" s="99" t="s">
        <v>341</v>
      </c>
      <c r="C22" s="100">
        <f>0.5*(C5+C7*C5) + 0.5*(C5)</f>
        <v>5</v>
      </c>
      <c r="D22" s="2"/>
    </row>
    <row r="23" spans="1:4" x14ac:dyDescent="0.25">
      <c r="A23" s="2"/>
      <c r="B23" s="99" t="s">
        <v>335</v>
      </c>
      <c r="C23" s="100">
        <f>(C22*C5) - ((C22^2)/2)</f>
        <v>7.5</v>
      </c>
      <c r="D23" s="2"/>
    </row>
    <row r="24" spans="1:4" x14ac:dyDescent="0.25">
      <c r="A24" s="2"/>
      <c r="B24" s="2"/>
      <c r="C24" s="222"/>
      <c r="D24" s="2"/>
    </row>
  </sheetData>
  <mergeCells count="4">
    <mergeCell ref="B9:C9"/>
    <mergeCell ref="B14:C14"/>
    <mergeCell ref="B20:C20"/>
    <mergeCell ref="B1:C1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F61FE-876D-4F5E-A13A-C3AAB3AE5243}">
  <sheetPr codeName="Hoja4"/>
  <dimension ref="A1:AE543"/>
  <sheetViews>
    <sheetView showGridLines="0" zoomScale="80" zoomScaleNormal="80" workbookViewId="0"/>
  </sheetViews>
  <sheetFormatPr baseColWidth="10" defaultRowHeight="15" x14ac:dyDescent="0.25"/>
  <cols>
    <col min="1" max="1" width="7.7109375" style="5" customWidth="1"/>
    <col min="2" max="5" width="11.7109375" style="5" customWidth="1"/>
    <col min="6" max="6" width="11.7109375" customWidth="1"/>
    <col min="7" max="7" width="11.7109375" style="5" customWidth="1"/>
    <col min="8" max="8" width="7.7109375" style="5" customWidth="1"/>
    <col min="9" max="11" width="11.7109375" style="5" customWidth="1"/>
    <col min="12" max="31" width="11.42578125" style="5"/>
  </cols>
  <sheetData>
    <row r="1" spans="1:9" x14ac:dyDescent="0.25">
      <c r="A1" s="44"/>
      <c r="B1" s="233" t="s">
        <v>49</v>
      </c>
      <c r="C1" s="233"/>
      <c r="D1" s="233"/>
      <c r="E1" s="233"/>
      <c r="F1" s="233"/>
      <c r="G1" s="233"/>
      <c r="H1" s="70"/>
      <c r="I1" s="50"/>
    </row>
    <row r="2" spans="1:9" x14ac:dyDescent="0.25">
      <c r="A2" s="44"/>
      <c r="B2" s="50"/>
      <c r="C2" s="50"/>
      <c r="D2" s="41" t="s">
        <v>106</v>
      </c>
      <c r="E2" s="41" t="s">
        <v>96</v>
      </c>
      <c r="F2" s="41" t="s">
        <v>97</v>
      </c>
      <c r="G2" s="41" t="s">
        <v>107</v>
      </c>
      <c r="H2" s="70"/>
      <c r="I2" s="50"/>
    </row>
    <row r="3" spans="1:9" x14ac:dyDescent="0.25">
      <c r="A3" s="44"/>
      <c r="B3" s="7"/>
      <c r="C3" s="8"/>
      <c r="D3" s="81" t="s">
        <v>28</v>
      </c>
      <c r="E3" s="53">
        <v>200</v>
      </c>
      <c r="F3" s="53">
        <v>15</v>
      </c>
      <c r="G3" s="75">
        <f ca="1">MAX(NORMINV(RAND(),E3,F3),0.01)</f>
        <v>202.20742662017548</v>
      </c>
      <c r="H3" s="44"/>
    </row>
    <row r="4" spans="1:9" x14ac:dyDescent="0.25">
      <c r="A4" s="44"/>
      <c r="B4" s="8"/>
      <c r="C4" s="8"/>
      <c r="D4" s="82" t="s">
        <v>29</v>
      </c>
      <c r="E4" s="41">
        <v>2</v>
      </c>
      <c r="F4" s="41">
        <v>0.3</v>
      </c>
      <c r="G4" s="75">
        <f ca="1">MAX(NORMINV(RAND(),E4,F4),1.001)</f>
        <v>2.1319743849184696</v>
      </c>
      <c r="H4" s="76"/>
      <c r="I4" s="41"/>
    </row>
    <row r="5" spans="1:9" x14ac:dyDescent="0.25">
      <c r="A5" s="44"/>
      <c r="B5" s="7"/>
      <c r="C5" s="8"/>
      <c r="D5" s="81" t="s">
        <v>11</v>
      </c>
      <c r="E5" s="53"/>
      <c r="F5" s="53"/>
      <c r="G5" s="78">
        <v>1</v>
      </c>
      <c r="H5" s="76"/>
      <c r="I5" s="41"/>
    </row>
    <row r="6" spans="1:9" x14ac:dyDescent="0.25">
      <c r="A6" s="44"/>
      <c r="D6" s="83" t="s">
        <v>12</v>
      </c>
      <c r="E6" s="41"/>
      <c r="F6" s="41"/>
      <c r="G6" s="78">
        <v>0</v>
      </c>
      <c r="H6" s="76"/>
      <c r="I6" s="41"/>
    </row>
    <row r="7" spans="1:9" x14ac:dyDescent="0.25">
      <c r="A7" s="44"/>
      <c r="D7" s="81" t="s">
        <v>13</v>
      </c>
      <c r="E7" s="53">
        <v>4</v>
      </c>
      <c r="F7" s="53">
        <v>1</v>
      </c>
      <c r="G7" s="75">
        <f ca="1">MAX(NORMINV(RAND(),E7,F7),0.01)</f>
        <v>3.987612104906658</v>
      </c>
      <c r="H7" s="76"/>
      <c r="I7" s="41"/>
    </row>
    <row r="8" spans="1:9" x14ac:dyDescent="0.25">
      <c r="A8" s="44"/>
      <c r="D8" s="83" t="s">
        <v>46</v>
      </c>
      <c r="E8" s="41"/>
      <c r="F8" s="41"/>
      <c r="G8" s="79">
        <v>4</v>
      </c>
      <c r="H8" s="44"/>
    </row>
    <row r="9" spans="1:9" x14ac:dyDescent="0.25">
      <c r="A9" s="44"/>
      <c r="D9" s="84" t="s">
        <v>17</v>
      </c>
      <c r="E9" s="53"/>
      <c r="F9" s="53"/>
      <c r="G9" s="80">
        <v>0.21</v>
      </c>
      <c r="H9" s="77"/>
      <c r="I9" s="6"/>
    </row>
    <row r="10" spans="1:9" ht="15.75" thickBot="1" x14ac:dyDescent="0.3">
      <c r="A10" s="44"/>
      <c r="B10" s="61"/>
      <c r="C10" s="61"/>
      <c r="D10" s="61"/>
      <c r="E10" s="85"/>
      <c r="F10" s="85"/>
      <c r="G10" s="85"/>
      <c r="H10" s="77"/>
      <c r="I10" s="6"/>
    </row>
    <row r="11" spans="1:9" ht="15.75" thickTop="1" x14ac:dyDescent="0.25">
      <c r="A11" s="44"/>
      <c r="F11" s="5"/>
      <c r="H11" s="77"/>
      <c r="I11" s="6"/>
    </row>
    <row r="12" spans="1:9" x14ac:dyDescent="0.25">
      <c r="A12" s="44"/>
      <c r="B12" s="3" t="s">
        <v>16</v>
      </c>
      <c r="C12" s="6">
        <f>G8*E12</f>
        <v>3.6</v>
      </c>
      <c r="D12" s="3" t="s">
        <v>47</v>
      </c>
      <c r="E12" s="6">
        <v>0.9</v>
      </c>
      <c r="F12" s="5"/>
      <c r="H12" s="44"/>
    </row>
    <row r="13" spans="1:9" x14ac:dyDescent="0.25">
      <c r="A13" s="44"/>
      <c r="B13" s="3" t="s">
        <v>23</v>
      </c>
      <c r="C13" s="6">
        <f ca="1">E14 * (1 - (1/(G8*G4)))</f>
        <v>4.8266374318244827</v>
      </c>
      <c r="D13" s="3" t="s">
        <v>8</v>
      </c>
      <c r="E13" s="6">
        <f ca="1">(C12/G3)^(-1/G4)</f>
        <v>6.6160430330006577</v>
      </c>
      <c r="F13" s="5"/>
      <c r="H13" s="44"/>
    </row>
    <row r="14" spans="1:9" x14ac:dyDescent="0.25">
      <c r="A14" s="44"/>
      <c r="B14" s="3" t="s">
        <v>4</v>
      </c>
      <c r="C14" s="6">
        <f ca="1">G5*E12^2 - G6*E12 + G7</f>
        <v>4.7976121049066585</v>
      </c>
      <c r="D14" s="3" t="s">
        <v>9</v>
      </c>
      <c r="E14" s="6">
        <f ca="1">E13/(1+G9)</f>
        <v>5.4678041595046762</v>
      </c>
      <c r="F14" s="5"/>
      <c r="H14" s="44"/>
    </row>
    <row r="15" spans="1:9" x14ac:dyDescent="0.25">
      <c r="A15" s="44"/>
      <c r="F15" s="5"/>
      <c r="H15" s="44"/>
    </row>
    <row r="16" spans="1:9" x14ac:dyDescent="0.25">
      <c r="A16" s="44"/>
      <c r="B16" s="5" t="s">
        <v>15</v>
      </c>
      <c r="C16" s="6">
        <f ca="1">C13-C14</f>
        <v>2.9025326917824223E-2</v>
      </c>
      <c r="F16" s="5"/>
      <c r="H16" s="44"/>
    </row>
    <row r="17" spans="1:8" ht="15.75" thickBot="1" x14ac:dyDescent="0.3">
      <c r="A17" s="44"/>
      <c r="B17" s="61"/>
      <c r="C17" s="71"/>
      <c r="D17" s="61"/>
      <c r="E17" s="61"/>
      <c r="F17" s="61"/>
      <c r="G17" s="61"/>
      <c r="H17" s="44"/>
    </row>
    <row r="18" spans="1:8" ht="15.75" thickTop="1" x14ac:dyDescent="0.25">
      <c r="A18" s="44"/>
      <c r="C18" s="6" t="s">
        <v>35</v>
      </c>
      <c r="D18" s="72">
        <f ca="1">(E14-C14)/E14</f>
        <v>0.12257060330754968</v>
      </c>
      <c r="F18" s="5"/>
      <c r="H18" s="44"/>
    </row>
    <row r="19" spans="1:8" x14ac:dyDescent="0.25">
      <c r="A19" s="44"/>
      <c r="C19" s="5" t="s">
        <v>81</v>
      </c>
      <c r="D19" s="22">
        <f ca="1">(E14*E12) - (G5/3*E12^3 - G6/2*E12^2 + G7* E12)</f>
        <v>1.0891728491382162</v>
      </c>
      <c r="F19" s="5"/>
      <c r="H19" s="44"/>
    </row>
    <row r="20" spans="1:8" x14ac:dyDescent="0.25">
      <c r="A20" s="44"/>
      <c r="B20" s="44"/>
      <c r="C20" s="44"/>
      <c r="D20" s="44"/>
      <c r="E20" s="44"/>
      <c r="F20" s="44"/>
      <c r="G20" s="44"/>
      <c r="H20" s="44"/>
    </row>
    <row r="21" spans="1:8" x14ac:dyDescent="0.25">
      <c r="F21" s="5"/>
    </row>
    <row r="22" spans="1:8" x14ac:dyDescent="0.25">
      <c r="F22" s="5"/>
    </row>
    <row r="23" spans="1:8" x14ac:dyDescent="0.25">
      <c r="F23" s="5"/>
    </row>
    <row r="24" spans="1:8" x14ac:dyDescent="0.25">
      <c r="F24" s="5"/>
    </row>
    <row r="25" spans="1:8" x14ac:dyDescent="0.25">
      <c r="F25" s="5"/>
    </row>
    <row r="26" spans="1:8" x14ac:dyDescent="0.25">
      <c r="F26" s="5"/>
    </row>
    <row r="27" spans="1:8" x14ac:dyDescent="0.25">
      <c r="F27" s="5"/>
    </row>
    <row r="28" spans="1:8" x14ac:dyDescent="0.25">
      <c r="F28" s="5"/>
    </row>
    <row r="29" spans="1:8" x14ac:dyDescent="0.25">
      <c r="F29" s="5"/>
    </row>
    <row r="30" spans="1:8" x14ac:dyDescent="0.25">
      <c r="F30" s="5"/>
    </row>
    <row r="31" spans="1:8" x14ac:dyDescent="0.25">
      <c r="F31" s="5"/>
    </row>
    <row r="32" spans="1:8" x14ac:dyDescent="0.25">
      <c r="F32" s="5"/>
    </row>
    <row r="33" spans="6:6" x14ac:dyDescent="0.25">
      <c r="F33" s="5"/>
    </row>
    <row r="34" spans="6:6" x14ac:dyDescent="0.25">
      <c r="F34" s="5"/>
    </row>
    <row r="35" spans="6:6" x14ac:dyDescent="0.25">
      <c r="F35" s="5"/>
    </row>
    <row r="36" spans="6:6" x14ac:dyDescent="0.25">
      <c r="F36" s="5"/>
    </row>
    <row r="37" spans="6:6" x14ac:dyDescent="0.25">
      <c r="F37" s="5"/>
    </row>
    <row r="38" spans="6:6" x14ac:dyDescent="0.25">
      <c r="F38" s="5"/>
    </row>
    <row r="39" spans="6:6" x14ac:dyDescent="0.25">
      <c r="F39" s="5"/>
    </row>
    <row r="40" spans="6:6" x14ac:dyDescent="0.25">
      <c r="F40" s="5"/>
    </row>
    <row r="41" spans="6:6" x14ac:dyDescent="0.25">
      <c r="F41" s="5"/>
    </row>
    <row r="42" spans="6:6" x14ac:dyDescent="0.25">
      <c r="F42" s="5"/>
    </row>
    <row r="43" spans="6:6" x14ac:dyDescent="0.25">
      <c r="F43" s="5"/>
    </row>
    <row r="44" spans="6:6" x14ac:dyDescent="0.25">
      <c r="F44" s="5"/>
    </row>
    <row r="45" spans="6:6" x14ac:dyDescent="0.25">
      <c r="F45" s="5"/>
    </row>
    <row r="46" spans="6:6" x14ac:dyDescent="0.25">
      <c r="F46" s="5"/>
    </row>
    <row r="47" spans="6:6" x14ac:dyDescent="0.25">
      <c r="F47" s="5"/>
    </row>
    <row r="48" spans="6:6" x14ac:dyDescent="0.25">
      <c r="F48" s="5"/>
    </row>
    <row r="49" spans="6:6" x14ac:dyDescent="0.25">
      <c r="F49" s="5"/>
    </row>
    <row r="50" spans="6:6" x14ac:dyDescent="0.25">
      <c r="F50" s="5"/>
    </row>
    <row r="51" spans="6:6" x14ac:dyDescent="0.25">
      <c r="F51" s="5"/>
    </row>
    <row r="52" spans="6:6" x14ac:dyDescent="0.25">
      <c r="F52" s="5"/>
    </row>
    <row r="53" spans="6:6" x14ac:dyDescent="0.25">
      <c r="F53" s="5"/>
    </row>
    <row r="54" spans="6:6" x14ac:dyDescent="0.25">
      <c r="F54" s="5"/>
    </row>
    <row r="55" spans="6:6" x14ac:dyDescent="0.25">
      <c r="F55" s="5"/>
    </row>
    <row r="56" spans="6:6" x14ac:dyDescent="0.25">
      <c r="F56" s="5"/>
    </row>
    <row r="57" spans="6:6" x14ac:dyDescent="0.25">
      <c r="F57" s="5"/>
    </row>
    <row r="58" spans="6:6" x14ac:dyDescent="0.25">
      <c r="F58" s="5"/>
    </row>
    <row r="59" spans="6:6" x14ac:dyDescent="0.25">
      <c r="F59" s="5"/>
    </row>
    <row r="60" spans="6:6" x14ac:dyDescent="0.25">
      <c r="F60" s="5"/>
    </row>
    <row r="61" spans="6:6" x14ac:dyDescent="0.25">
      <c r="F61" s="5"/>
    </row>
    <row r="62" spans="6:6" x14ac:dyDescent="0.25">
      <c r="F62" s="5"/>
    </row>
    <row r="63" spans="6:6" x14ac:dyDescent="0.25">
      <c r="F63" s="5"/>
    </row>
    <row r="64" spans="6:6" x14ac:dyDescent="0.25">
      <c r="F64" s="5"/>
    </row>
    <row r="65" spans="6:6" x14ac:dyDescent="0.25">
      <c r="F65" s="5"/>
    </row>
    <row r="66" spans="6:6" x14ac:dyDescent="0.25">
      <c r="F66" s="5"/>
    </row>
    <row r="67" spans="6:6" x14ac:dyDescent="0.25">
      <c r="F67" s="5"/>
    </row>
    <row r="68" spans="6:6" x14ac:dyDescent="0.25">
      <c r="F68" s="5"/>
    </row>
    <row r="69" spans="6:6" x14ac:dyDescent="0.25">
      <c r="F69" s="5"/>
    </row>
    <row r="70" spans="6:6" x14ac:dyDescent="0.25">
      <c r="F70" s="5"/>
    </row>
    <row r="71" spans="6:6" x14ac:dyDescent="0.25">
      <c r="F71" s="5"/>
    </row>
    <row r="72" spans="6:6" x14ac:dyDescent="0.25">
      <c r="F72" s="5"/>
    </row>
    <row r="73" spans="6:6" x14ac:dyDescent="0.25">
      <c r="F73" s="5"/>
    </row>
    <row r="74" spans="6:6" x14ac:dyDescent="0.25">
      <c r="F74" s="5"/>
    </row>
    <row r="75" spans="6:6" x14ac:dyDescent="0.25">
      <c r="F75" s="5"/>
    </row>
    <row r="76" spans="6:6" x14ac:dyDescent="0.25">
      <c r="F76" s="5"/>
    </row>
    <row r="77" spans="6:6" x14ac:dyDescent="0.25">
      <c r="F77" s="5"/>
    </row>
    <row r="78" spans="6:6" x14ac:dyDescent="0.25">
      <c r="F78" s="5"/>
    </row>
    <row r="79" spans="6:6" x14ac:dyDescent="0.25">
      <c r="F79" s="5"/>
    </row>
    <row r="80" spans="6:6" x14ac:dyDescent="0.25">
      <c r="F80" s="5"/>
    </row>
    <row r="81" spans="6:6" x14ac:dyDescent="0.25">
      <c r="F81" s="5"/>
    </row>
    <row r="82" spans="6:6" x14ac:dyDescent="0.25">
      <c r="F82" s="5"/>
    </row>
    <row r="83" spans="6:6" x14ac:dyDescent="0.25">
      <c r="F83" s="5"/>
    </row>
    <row r="84" spans="6:6" x14ac:dyDescent="0.25">
      <c r="F84" s="5"/>
    </row>
    <row r="85" spans="6:6" x14ac:dyDescent="0.25">
      <c r="F85" s="5"/>
    </row>
    <row r="86" spans="6:6" x14ac:dyDescent="0.25">
      <c r="F86" s="5"/>
    </row>
    <row r="87" spans="6:6" x14ac:dyDescent="0.25">
      <c r="F87" s="5"/>
    </row>
    <row r="88" spans="6:6" x14ac:dyDescent="0.25">
      <c r="F88" s="5"/>
    </row>
    <row r="89" spans="6:6" x14ac:dyDescent="0.25">
      <c r="F89" s="5"/>
    </row>
    <row r="90" spans="6:6" x14ac:dyDescent="0.25">
      <c r="F90" s="5"/>
    </row>
    <row r="91" spans="6:6" x14ac:dyDescent="0.25">
      <c r="F91" s="5"/>
    </row>
    <row r="92" spans="6:6" x14ac:dyDescent="0.25">
      <c r="F92" s="5"/>
    </row>
    <row r="93" spans="6:6" x14ac:dyDescent="0.25">
      <c r="F93" s="5"/>
    </row>
    <row r="94" spans="6:6" x14ac:dyDescent="0.25">
      <c r="F94" s="5"/>
    </row>
    <row r="95" spans="6:6" x14ac:dyDescent="0.25">
      <c r="F95" s="5"/>
    </row>
    <row r="96" spans="6:6" x14ac:dyDescent="0.25">
      <c r="F96" s="5"/>
    </row>
    <row r="97" spans="6:6" x14ac:dyDescent="0.25">
      <c r="F97" s="5"/>
    </row>
    <row r="98" spans="6:6" x14ac:dyDescent="0.25">
      <c r="F98" s="5"/>
    </row>
    <row r="99" spans="6:6" x14ac:dyDescent="0.25">
      <c r="F99" s="5"/>
    </row>
    <row r="100" spans="6:6" x14ac:dyDescent="0.25">
      <c r="F100" s="5"/>
    </row>
    <row r="101" spans="6:6" x14ac:dyDescent="0.25">
      <c r="F101" s="5"/>
    </row>
    <row r="102" spans="6:6" x14ac:dyDescent="0.25">
      <c r="F102" s="5"/>
    </row>
    <row r="103" spans="6:6" x14ac:dyDescent="0.25">
      <c r="F103" s="5"/>
    </row>
    <row r="104" spans="6:6" x14ac:dyDescent="0.25">
      <c r="F104" s="5"/>
    </row>
    <row r="105" spans="6:6" x14ac:dyDescent="0.25">
      <c r="F105" s="5"/>
    </row>
    <row r="106" spans="6:6" x14ac:dyDescent="0.25">
      <c r="F106" s="5"/>
    </row>
    <row r="107" spans="6:6" x14ac:dyDescent="0.25">
      <c r="F107" s="5"/>
    </row>
    <row r="108" spans="6:6" x14ac:dyDescent="0.25">
      <c r="F108" s="5"/>
    </row>
    <row r="109" spans="6:6" x14ac:dyDescent="0.25">
      <c r="F109" s="5"/>
    </row>
    <row r="110" spans="6:6" x14ac:dyDescent="0.25">
      <c r="F110" s="5"/>
    </row>
    <row r="111" spans="6:6" x14ac:dyDescent="0.25">
      <c r="F111" s="5"/>
    </row>
    <row r="112" spans="6:6" x14ac:dyDescent="0.25">
      <c r="F112" s="5"/>
    </row>
    <row r="113" spans="6:6" x14ac:dyDescent="0.25">
      <c r="F113" s="5"/>
    </row>
    <row r="114" spans="6:6" x14ac:dyDescent="0.25">
      <c r="F114" s="5"/>
    </row>
    <row r="115" spans="6:6" x14ac:dyDescent="0.25">
      <c r="F115" s="5"/>
    </row>
    <row r="116" spans="6:6" x14ac:dyDescent="0.25">
      <c r="F116" s="5"/>
    </row>
    <row r="117" spans="6:6" x14ac:dyDescent="0.25">
      <c r="F117" s="5"/>
    </row>
    <row r="118" spans="6:6" x14ac:dyDescent="0.25">
      <c r="F118" s="5"/>
    </row>
    <row r="119" spans="6:6" x14ac:dyDescent="0.25">
      <c r="F119" s="5"/>
    </row>
    <row r="120" spans="6:6" x14ac:dyDescent="0.25">
      <c r="F120" s="5"/>
    </row>
    <row r="121" spans="6:6" x14ac:dyDescent="0.25">
      <c r="F121" s="5"/>
    </row>
    <row r="122" spans="6:6" x14ac:dyDescent="0.25">
      <c r="F122" s="5"/>
    </row>
    <row r="123" spans="6:6" x14ac:dyDescent="0.25">
      <c r="F123" s="5"/>
    </row>
    <row r="124" spans="6:6" x14ac:dyDescent="0.25">
      <c r="F124" s="5"/>
    </row>
    <row r="125" spans="6:6" x14ac:dyDescent="0.25">
      <c r="F125" s="5"/>
    </row>
    <row r="126" spans="6:6" x14ac:dyDescent="0.25">
      <c r="F126" s="5"/>
    </row>
    <row r="127" spans="6:6" x14ac:dyDescent="0.25">
      <c r="F127" s="5"/>
    </row>
    <row r="128" spans="6:6" x14ac:dyDescent="0.25">
      <c r="F128" s="5"/>
    </row>
    <row r="129" spans="6:6" x14ac:dyDescent="0.25">
      <c r="F129" s="5"/>
    </row>
    <row r="130" spans="6:6" x14ac:dyDescent="0.25">
      <c r="F130" s="5"/>
    </row>
    <row r="131" spans="6:6" x14ac:dyDescent="0.25">
      <c r="F131" s="5"/>
    </row>
    <row r="132" spans="6:6" x14ac:dyDescent="0.25">
      <c r="F132" s="5"/>
    </row>
    <row r="133" spans="6:6" x14ac:dyDescent="0.25">
      <c r="F133" s="5"/>
    </row>
    <row r="134" spans="6:6" x14ac:dyDescent="0.25">
      <c r="F134" s="5"/>
    </row>
    <row r="135" spans="6:6" x14ac:dyDescent="0.25">
      <c r="F135" s="5"/>
    </row>
    <row r="136" spans="6:6" x14ac:dyDescent="0.25">
      <c r="F136" s="5"/>
    </row>
    <row r="137" spans="6:6" x14ac:dyDescent="0.25">
      <c r="F137" s="5"/>
    </row>
    <row r="138" spans="6:6" x14ac:dyDescent="0.25">
      <c r="F138" s="5"/>
    </row>
    <row r="139" spans="6:6" x14ac:dyDescent="0.25">
      <c r="F139" s="5"/>
    </row>
    <row r="140" spans="6:6" x14ac:dyDescent="0.25">
      <c r="F140" s="5"/>
    </row>
    <row r="141" spans="6:6" x14ac:dyDescent="0.25">
      <c r="F141" s="5"/>
    </row>
    <row r="142" spans="6:6" x14ac:dyDescent="0.25">
      <c r="F142" s="5"/>
    </row>
    <row r="143" spans="6:6" x14ac:dyDescent="0.25">
      <c r="F143" s="5"/>
    </row>
    <row r="144" spans="6:6" x14ac:dyDescent="0.25">
      <c r="F144" s="5"/>
    </row>
    <row r="145" spans="6:6" x14ac:dyDescent="0.25">
      <c r="F145" s="5"/>
    </row>
    <row r="146" spans="6:6" x14ac:dyDescent="0.25">
      <c r="F146" s="5"/>
    </row>
    <row r="147" spans="6:6" x14ac:dyDescent="0.25">
      <c r="F147" s="5"/>
    </row>
    <row r="148" spans="6:6" x14ac:dyDescent="0.25">
      <c r="F148" s="5"/>
    </row>
    <row r="149" spans="6:6" x14ac:dyDescent="0.25">
      <c r="F149" s="5"/>
    </row>
    <row r="150" spans="6:6" x14ac:dyDescent="0.25">
      <c r="F150" s="5"/>
    </row>
    <row r="151" spans="6:6" x14ac:dyDescent="0.25">
      <c r="F151" s="5"/>
    </row>
    <row r="152" spans="6:6" x14ac:dyDescent="0.25">
      <c r="F152" s="5"/>
    </row>
    <row r="153" spans="6:6" x14ac:dyDescent="0.25">
      <c r="F153" s="5"/>
    </row>
    <row r="154" spans="6:6" x14ac:dyDescent="0.25">
      <c r="F154" s="5"/>
    </row>
    <row r="155" spans="6:6" x14ac:dyDescent="0.25">
      <c r="F155" s="5"/>
    </row>
    <row r="156" spans="6:6" x14ac:dyDescent="0.25">
      <c r="F156" s="5"/>
    </row>
    <row r="157" spans="6:6" x14ac:dyDescent="0.25">
      <c r="F157" s="5"/>
    </row>
    <row r="158" spans="6:6" x14ac:dyDescent="0.25">
      <c r="F158" s="5"/>
    </row>
    <row r="159" spans="6:6" x14ac:dyDescent="0.25">
      <c r="F159" s="5"/>
    </row>
    <row r="160" spans="6:6" x14ac:dyDescent="0.25">
      <c r="F160" s="5"/>
    </row>
    <row r="161" spans="6:6" x14ac:dyDescent="0.25">
      <c r="F161" s="5"/>
    </row>
    <row r="162" spans="6:6" x14ac:dyDescent="0.25">
      <c r="F162" s="5"/>
    </row>
    <row r="163" spans="6:6" x14ac:dyDescent="0.25">
      <c r="F163" s="5"/>
    </row>
    <row r="164" spans="6:6" x14ac:dyDescent="0.25">
      <c r="F164" s="5"/>
    </row>
    <row r="165" spans="6:6" x14ac:dyDescent="0.25">
      <c r="F165" s="5"/>
    </row>
    <row r="166" spans="6:6" x14ac:dyDescent="0.25">
      <c r="F166" s="5"/>
    </row>
    <row r="167" spans="6:6" x14ac:dyDescent="0.25">
      <c r="F167" s="5"/>
    </row>
    <row r="168" spans="6:6" x14ac:dyDescent="0.25">
      <c r="F168" s="5"/>
    </row>
    <row r="169" spans="6:6" x14ac:dyDescent="0.25">
      <c r="F169" s="5"/>
    </row>
    <row r="170" spans="6:6" x14ac:dyDescent="0.25">
      <c r="F170" s="5"/>
    </row>
    <row r="171" spans="6:6" x14ac:dyDescent="0.25">
      <c r="F171" s="5"/>
    </row>
    <row r="172" spans="6:6" x14ac:dyDescent="0.25">
      <c r="F172" s="5"/>
    </row>
    <row r="173" spans="6:6" x14ac:dyDescent="0.25">
      <c r="F173" s="5"/>
    </row>
    <row r="174" spans="6:6" x14ac:dyDescent="0.25">
      <c r="F174" s="5"/>
    </row>
    <row r="175" spans="6:6" x14ac:dyDescent="0.25">
      <c r="F175" s="5"/>
    </row>
    <row r="176" spans="6:6" x14ac:dyDescent="0.25">
      <c r="F176" s="5"/>
    </row>
    <row r="177" spans="6:6" x14ac:dyDescent="0.25">
      <c r="F177" s="5"/>
    </row>
    <row r="178" spans="6:6" x14ac:dyDescent="0.25">
      <c r="F178" s="5"/>
    </row>
    <row r="179" spans="6:6" x14ac:dyDescent="0.25">
      <c r="F179" s="5"/>
    </row>
    <row r="180" spans="6:6" x14ac:dyDescent="0.25">
      <c r="F180" s="5"/>
    </row>
    <row r="181" spans="6:6" x14ac:dyDescent="0.25">
      <c r="F181" s="5"/>
    </row>
    <row r="182" spans="6:6" x14ac:dyDescent="0.25">
      <c r="F182" s="5"/>
    </row>
    <row r="183" spans="6:6" x14ac:dyDescent="0.25">
      <c r="F183" s="5"/>
    </row>
    <row r="184" spans="6:6" x14ac:dyDescent="0.25">
      <c r="F184" s="5"/>
    </row>
    <row r="185" spans="6:6" x14ac:dyDescent="0.25">
      <c r="F185" s="5"/>
    </row>
    <row r="186" spans="6:6" x14ac:dyDescent="0.25">
      <c r="F186" s="5"/>
    </row>
    <row r="187" spans="6:6" x14ac:dyDescent="0.25">
      <c r="F187" s="5"/>
    </row>
    <row r="188" spans="6:6" x14ac:dyDescent="0.25">
      <c r="F188" s="5"/>
    </row>
    <row r="189" spans="6:6" x14ac:dyDescent="0.25">
      <c r="F189" s="5"/>
    </row>
    <row r="190" spans="6:6" x14ac:dyDescent="0.25">
      <c r="F190" s="5"/>
    </row>
    <row r="191" spans="6:6" x14ac:dyDescent="0.25">
      <c r="F191" s="5"/>
    </row>
    <row r="192" spans="6:6" x14ac:dyDescent="0.25">
      <c r="F192" s="5"/>
    </row>
    <row r="193" spans="6:6" x14ac:dyDescent="0.25">
      <c r="F193" s="5"/>
    </row>
    <row r="194" spans="6:6" x14ac:dyDescent="0.25">
      <c r="F194" s="5"/>
    </row>
    <row r="195" spans="6:6" x14ac:dyDescent="0.25">
      <c r="F195" s="5"/>
    </row>
    <row r="196" spans="6:6" x14ac:dyDescent="0.25">
      <c r="F196" s="5"/>
    </row>
    <row r="197" spans="6:6" x14ac:dyDescent="0.25">
      <c r="F197" s="5"/>
    </row>
    <row r="198" spans="6:6" x14ac:dyDescent="0.25">
      <c r="F198" s="5"/>
    </row>
    <row r="199" spans="6:6" x14ac:dyDescent="0.25">
      <c r="F199" s="5"/>
    </row>
    <row r="200" spans="6:6" x14ac:dyDescent="0.25">
      <c r="F200" s="5"/>
    </row>
    <row r="201" spans="6:6" x14ac:dyDescent="0.25">
      <c r="F201" s="5"/>
    </row>
    <row r="202" spans="6:6" x14ac:dyDescent="0.25">
      <c r="F202" s="5"/>
    </row>
    <row r="203" spans="6:6" x14ac:dyDescent="0.25">
      <c r="F203" s="5"/>
    </row>
    <row r="204" spans="6:6" x14ac:dyDescent="0.25">
      <c r="F204" s="5"/>
    </row>
    <row r="205" spans="6:6" x14ac:dyDescent="0.25">
      <c r="F205" s="5"/>
    </row>
    <row r="206" spans="6:6" x14ac:dyDescent="0.25">
      <c r="F206" s="5"/>
    </row>
    <row r="207" spans="6:6" x14ac:dyDescent="0.25">
      <c r="F207" s="5"/>
    </row>
    <row r="208" spans="6:6" x14ac:dyDescent="0.25">
      <c r="F208" s="5"/>
    </row>
    <row r="209" spans="6:6" x14ac:dyDescent="0.25">
      <c r="F209" s="5"/>
    </row>
    <row r="210" spans="6:6" x14ac:dyDescent="0.25">
      <c r="F210" s="5"/>
    </row>
    <row r="211" spans="6:6" x14ac:dyDescent="0.25">
      <c r="F211" s="5"/>
    </row>
    <row r="212" spans="6:6" x14ac:dyDescent="0.25">
      <c r="F212" s="5"/>
    </row>
    <row r="213" spans="6:6" x14ac:dyDescent="0.25">
      <c r="F213" s="5"/>
    </row>
    <row r="214" spans="6:6" x14ac:dyDescent="0.25">
      <c r="F214" s="5"/>
    </row>
    <row r="215" spans="6:6" x14ac:dyDescent="0.25">
      <c r="F215" s="5"/>
    </row>
    <row r="216" spans="6:6" x14ac:dyDescent="0.25">
      <c r="F216" s="5"/>
    </row>
    <row r="217" spans="6:6" x14ac:dyDescent="0.25">
      <c r="F217" s="5"/>
    </row>
    <row r="218" spans="6:6" x14ac:dyDescent="0.25">
      <c r="F218" s="5"/>
    </row>
    <row r="219" spans="6:6" x14ac:dyDescent="0.25">
      <c r="F219" s="5"/>
    </row>
    <row r="220" spans="6:6" x14ac:dyDescent="0.25">
      <c r="F220" s="5"/>
    </row>
    <row r="221" spans="6:6" x14ac:dyDescent="0.25">
      <c r="F221" s="5"/>
    </row>
    <row r="222" spans="6:6" x14ac:dyDescent="0.25">
      <c r="F222" s="5"/>
    </row>
    <row r="223" spans="6:6" x14ac:dyDescent="0.25">
      <c r="F223" s="5"/>
    </row>
    <row r="224" spans="6:6" x14ac:dyDescent="0.25">
      <c r="F224" s="5"/>
    </row>
    <row r="225" spans="6:6" x14ac:dyDescent="0.25">
      <c r="F225" s="5"/>
    </row>
    <row r="226" spans="6:6" x14ac:dyDescent="0.25">
      <c r="F226" s="5"/>
    </row>
    <row r="227" spans="6:6" x14ac:dyDescent="0.25">
      <c r="F227" s="5"/>
    </row>
    <row r="228" spans="6:6" x14ac:dyDescent="0.25">
      <c r="F228" s="5"/>
    </row>
    <row r="229" spans="6:6" x14ac:dyDescent="0.25">
      <c r="F229" s="5"/>
    </row>
    <row r="230" spans="6:6" x14ac:dyDescent="0.25">
      <c r="F230" s="5"/>
    </row>
    <row r="231" spans="6:6" x14ac:dyDescent="0.25">
      <c r="F231" s="5"/>
    </row>
    <row r="232" spans="6:6" x14ac:dyDescent="0.25">
      <c r="F232" s="5"/>
    </row>
    <row r="233" spans="6:6" x14ac:dyDescent="0.25">
      <c r="F233" s="5"/>
    </row>
    <row r="234" spans="6:6" x14ac:dyDescent="0.25">
      <c r="F234" s="5"/>
    </row>
    <row r="235" spans="6:6" x14ac:dyDescent="0.25">
      <c r="F235" s="5"/>
    </row>
    <row r="236" spans="6:6" x14ac:dyDescent="0.25">
      <c r="F236" s="5"/>
    </row>
    <row r="237" spans="6:6" x14ac:dyDescent="0.25">
      <c r="F237" s="5"/>
    </row>
    <row r="238" spans="6:6" x14ac:dyDescent="0.25">
      <c r="F238" s="5"/>
    </row>
    <row r="239" spans="6:6" x14ac:dyDescent="0.25">
      <c r="F239" s="5"/>
    </row>
    <row r="240" spans="6:6" x14ac:dyDescent="0.25">
      <c r="F240" s="5"/>
    </row>
    <row r="241" spans="6:6" x14ac:dyDescent="0.25">
      <c r="F241" s="5"/>
    </row>
    <row r="242" spans="6:6" x14ac:dyDescent="0.25">
      <c r="F242" s="5"/>
    </row>
    <row r="243" spans="6:6" x14ac:dyDescent="0.25">
      <c r="F243" s="5"/>
    </row>
    <row r="244" spans="6:6" x14ac:dyDescent="0.25">
      <c r="F244" s="5"/>
    </row>
    <row r="245" spans="6:6" x14ac:dyDescent="0.25">
      <c r="F245" s="5"/>
    </row>
    <row r="246" spans="6:6" x14ac:dyDescent="0.25">
      <c r="F246" s="5"/>
    </row>
    <row r="247" spans="6:6" x14ac:dyDescent="0.25">
      <c r="F247" s="5"/>
    </row>
    <row r="248" spans="6:6" x14ac:dyDescent="0.25">
      <c r="F248" s="5"/>
    </row>
    <row r="249" spans="6:6" x14ac:dyDescent="0.25">
      <c r="F249" s="5"/>
    </row>
    <row r="250" spans="6:6" x14ac:dyDescent="0.25">
      <c r="F250" s="5"/>
    </row>
    <row r="251" spans="6:6" x14ac:dyDescent="0.25">
      <c r="F251" s="5"/>
    </row>
    <row r="252" spans="6:6" x14ac:dyDescent="0.25">
      <c r="F252" s="5"/>
    </row>
    <row r="253" spans="6:6" x14ac:dyDescent="0.25">
      <c r="F253" s="5"/>
    </row>
    <row r="254" spans="6:6" x14ac:dyDescent="0.25">
      <c r="F254" s="5"/>
    </row>
    <row r="255" spans="6:6" x14ac:dyDescent="0.25">
      <c r="F255" s="5"/>
    </row>
    <row r="256" spans="6:6" x14ac:dyDescent="0.25">
      <c r="F256" s="5"/>
    </row>
    <row r="257" spans="6:6" x14ac:dyDescent="0.25">
      <c r="F257" s="5"/>
    </row>
    <row r="258" spans="6:6" x14ac:dyDescent="0.25">
      <c r="F258" s="5"/>
    </row>
    <row r="259" spans="6:6" x14ac:dyDescent="0.25">
      <c r="F259" s="5"/>
    </row>
    <row r="260" spans="6:6" x14ac:dyDescent="0.25">
      <c r="F260" s="5"/>
    </row>
    <row r="261" spans="6:6" x14ac:dyDescent="0.25">
      <c r="F261" s="5"/>
    </row>
    <row r="262" spans="6:6" x14ac:dyDescent="0.25">
      <c r="F262" s="5"/>
    </row>
    <row r="263" spans="6:6" x14ac:dyDescent="0.25">
      <c r="F263" s="5"/>
    </row>
    <row r="264" spans="6:6" x14ac:dyDescent="0.25">
      <c r="F264" s="5"/>
    </row>
    <row r="265" spans="6:6" x14ac:dyDescent="0.25">
      <c r="F265" s="5"/>
    </row>
    <row r="266" spans="6:6" x14ac:dyDescent="0.25">
      <c r="F266" s="5"/>
    </row>
    <row r="267" spans="6:6" x14ac:dyDescent="0.25">
      <c r="F267" s="5"/>
    </row>
    <row r="268" spans="6:6" x14ac:dyDescent="0.25">
      <c r="F268" s="5"/>
    </row>
    <row r="269" spans="6:6" x14ac:dyDescent="0.25">
      <c r="F269" s="5"/>
    </row>
    <row r="270" spans="6:6" x14ac:dyDescent="0.25">
      <c r="F270" s="5"/>
    </row>
    <row r="271" spans="6:6" x14ac:dyDescent="0.25">
      <c r="F271" s="5"/>
    </row>
    <row r="272" spans="6:6" x14ac:dyDescent="0.25">
      <c r="F272" s="5"/>
    </row>
    <row r="273" spans="6:6" x14ac:dyDescent="0.25">
      <c r="F273" s="5"/>
    </row>
    <row r="274" spans="6:6" x14ac:dyDescent="0.25">
      <c r="F274" s="5"/>
    </row>
    <row r="275" spans="6:6" x14ac:dyDescent="0.25">
      <c r="F275" s="5"/>
    </row>
    <row r="276" spans="6:6" x14ac:dyDescent="0.25">
      <c r="F276" s="5"/>
    </row>
    <row r="277" spans="6:6" x14ac:dyDescent="0.25">
      <c r="F277" s="5"/>
    </row>
    <row r="278" spans="6:6" x14ac:dyDescent="0.25">
      <c r="F278" s="5"/>
    </row>
    <row r="279" spans="6:6" x14ac:dyDescent="0.25">
      <c r="F279" s="5"/>
    </row>
    <row r="280" spans="6:6" x14ac:dyDescent="0.25">
      <c r="F280" s="5"/>
    </row>
    <row r="281" spans="6:6" x14ac:dyDescent="0.25">
      <c r="F281" s="5"/>
    </row>
    <row r="282" spans="6:6" x14ac:dyDescent="0.25">
      <c r="F282" s="5"/>
    </row>
    <row r="283" spans="6:6" x14ac:dyDescent="0.25">
      <c r="F283" s="5"/>
    </row>
    <row r="284" spans="6:6" x14ac:dyDescent="0.25">
      <c r="F284" s="5"/>
    </row>
    <row r="285" spans="6:6" x14ac:dyDescent="0.25">
      <c r="F285" s="5"/>
    </row>
    <row r="286" spans="6:6" x14ac:dyDescent="0.25">
      <c r="F286" s="5"/>
    </row>
    <row r="287" spans="6:6" x14ac:dyDescent="0.25">
      <c r="F287" s="5"/>
    </row>
    <row r="288" spans="6:6" x14ac:dyDescent="0.25">
      <c r="F288" s="5"/>
    </row>
    <row r="289" spans="6:6" x14ac:dyDescent="0.25">
      <c r="F289" s="5"/>
    </row>
    <row r="290" spans="6:6" x14ac:dyDescent="0.25">
      <c r="F290" s="5"/>
    </row>
    <row r="291" spans="6:6" x14ac:dyDescent="0.25">
      <c r="F291" s="5"/>
    </row>
    <row r="292" spans="6:6" x14ac:dyDescent="0.25">
      <c r="F292" s="5"/>
    </row>
    <row r="293" spans="6:6" x14ac:dyDescent="0.25">
      <c r="F293" s="5"/>
    </row>
    <row r="294" spans="6:6" x14ac:dyDescent="0.25">
      <c r="F294" s="5"/>
    </row>
    <row r="295" spans="6:6" x14ac:dyDescent="0.25">
      <c r="F295" s="5"/>
    </row>
    <row r="296" spans="6:6" x14ac:dyDescent="0.25">
      <c r="F296" s="5"/>
    </row>
    <row r="297" spans="6:6" x14ac:dyDescent="0.25">
      <c r="F297" s="5"/>
    </row>
    <row r="298" spans="6:6" x14ac:dyDescent="0.25">
      <c r="F298" s="5"/>
    </row>
    <row r="299" spans="6:6" x14ac:dyDescent="0.25">
      <c r="F299" s="5"/>
    </row>
    <row r="300" spans="6:6" x14ac:dyDescent="0.25">
      <c r="F300" s="5"/>
    </row>
    <row r="301" spans="6:6" x14ac:dyDescent="0.25">
      <c r="F301" s="5"/>
    </row>
    <row r="302" spans="6:6" x14ac:dyDescent="0.25">
      <c r="F302" s="5"/>
    </row>
    <row r="303" spans="6:6" x14ac:dyDescent="0.25">
      <c r="F303" s="5"/>
    </row>
    <row r="304" spans="6:6" x14ac:dyDescent="0.25">
      <c r="F304" s="5"/>
    </row>
    <row r="305" spans="6:6" x14ac:dyDescent="0.25">
      <c r="F305" s="5"/>
    </row>
    <row r="306" spans="6:6" x14ac:dyDescent="0.25">
      <c r="F306" s="5"/>
    </row>
    <row r="307" spans="6:6" x14ac:dyDescent="0.25">
      <c r="F307" s="5"/>
    </row>
    <row r="308" spans="6:6" x14ac:dyDescent="0.25">
      <c r="F308" s="5"/>
    </row>
    <row r="309" spans="6:6" x14ac:dyDescent="0.25">
      <c r="F309" s="5"/>
    </row>
    <row r="310" spans="6:6" x14ac:dyDescent="0.25">
      <c r="F310" s="5"/>
    </row>
    <row r="311" spans="6:6" x14ac:dyDescent="0.25">
      <c r="F311" s="5"/>
    </row>
    <row r="312" spans="6:6" x14ac:dyDescent="0.25">
      <c r="F312" s="5"/>
    </row>
    <row r="313" spans="6:6" x14ac:dyDescent="0.25">
      <c r="F313" s="5"/>
    </row>
    <row r="314" spans="6:6" x14ac:dyDescent="0.25">
      <c r="F314" s="5"/>
    </row>
    <row r="315" spans="6:6" x14ac:dyDescent="0.25">
      <c r="F315" s="5"/>
    </row>
    <row r="316" spans="6:6" x14ac:dyDescent="0.25">
      <c r="F316" s="5"/>
    </row>
    <row r="317" spans="6:6" x14ac:dyDescent="0.25">
      <c r="F317" s="5"/>
    </row>
    <row r="318" spans="6:6" x14ac:dyDescent="0.25">
      <c r="F318" s="5"/>
    </row>
    <row r="319" spans="6:6" x14ac:dyDescent="0.25">
      <c r="F319" s="5"/>
    </row>
    <row r="320" spans="6:6" x14ac:dyDescent="0.25">
      <c r="F320" s="5"/>
    </row>
    <row r="321" spans="6:6" x14ac:dyDescent="0.25">
      <c r="F321" s="5"/>
    </row>
    <row r="322" spans="6:6" x14ac:dyDescent="0.25">
      <c r="F322" s="5"/>
    </row>
    <row r="323" spans="6:6" x14ac:dyDescent="0.25">
      <c r="F323" s="5"/>
    </row>
    <row r="324" spans="6:6" x14ac:dyDescent="0.25">
      <c r="F324" s="5"/>
    </row>
    <row r="325" spans="6:6" x14ac:dyDescent="0.25">
      <c r="F325" s="5"/>
    </row>
    <row r="326" spans="6:6" x14ac:dyDescent="0.25">
      <c r="F326" s="5"/>
    </row>
    <row r="327" spans="6:6" x14ac:dyDescent="0.25">
      <c r="F327" s="5"/>
    </row>
    <row r="328" spans="6:6" x14ac:dyDescent="0.25">
      <c r="F328" s="5"/>
    </row>
    <row r="329" spans="6:6" x14ac:dyDescent="0.25">
      <c r="F329" s="5"/>
    </row>
    <row r="330" spans="6:6" x14ac:dyDescent="0.25">
      <c r="F330" s="5"/>
    </row>
    <row r="331" spans="6:6" x14ac:dyDescent="0.25">
      <c r="F331" s="5"/>
    </row>
    <row r="332" spans="6:6" x14ac:dyDescent="0.25">
      <c r="F332" s="5"/>
    </row>
    <row r="333" spans="6:6" x14ac:dyDescent="0.25">
      <c r="F333" s="5"/>
    </row>
    <row r="334" spans="6:6" x14ac:dyDescent="0.25">
      <c r="F334" s="5"/>
    </row>
    <row r="335" spans="6:6" x14ac:dyDescent="0.25">
      <c r="F335" s="5"/>
    </row>
    <row r="336" spans="6:6" x14ac:dyDescent="0.25">
      <c r="F336" s="5"/>
    </row>
    <row r="337" spans="6:6" x14ac:dyDescent="0.25">
      <c r="F337" s="5"/>
    </row>
    <row r="338" spans="6:6" x14ac:dyDescent="0.25">
      <c r="F338" s="5"/>
    </row>
    <row r="339" spans="6:6" x14ac:dyDescent="0.25">
      <c r="F339" s="5"/>
    </row>
    <row r="340" spans="6:6" x14ac:dyDescent="0.25">
      <c r="F340" s="5"/>
    </row>
    <row r="341" spans="6:6" x14ac:dyDescent="0.25">
      <c r="F341" s="5"/>
    </row>
    <row r="342" spans="6:6" x14ac:dyDescent="0.25">
      <c r="F342" s="5"/>
    </row>
    <row r="343" spans="6:6" x14ac:dyDescent="0.25">
      <c r="F343" s="5"/>
    </row>
    <row r="344" spans="6:6" x14ac:dyDescent="0.25">
      <c r="F344" s="5"/>
    </row>
    <row r="345" spans="6:6" x14ac:dyDescent="0.25">
      <c r="F345" s="5"/>
    </row>
    <row r="346" spans="6:6" x14ac:dyDescent="0.25">
      <c r="F346" s="5"/>
    </row>
    <row r="347" spans="6:6" x14ac:dyDescent="0.25">
      <c r="F347" s="5"/>
    </row>
    <row r="348" spans="6:6" x14ac:dyDescent="0.25">
      <c r="F348" s="5"/>
    </row>
    <row r="349" spans="6:6" x14ac:dyDescent="0.25">
      <c r="F349" s="5"/>
    </row>
    <row r="350" spans="6:6" x14ac:dyDescent="0.25">
      <c r="F350" s="5"/>
    </row>
    <row r="351" spans="6:6" x14ac:dyDescent="0.25">
      <c r="F351" s="5"/>
    </row>
    <row r="352" spans="6:6" x14ac:dyDescent="0.25">
      <c r="F352" s="5"/>
    </row>
    <row r="353" spans="6:6" x14ac:dyDescent="0.25">
      <c r="F353" s="5"/>
    </row>
    <row r="354" spans="6:6" x14ac:dyDescent="0.25">
      <c r="F354" s="5"/>
    </row>
    <row r="355" spans="6:6" x14ac:dyDescent="0.25">
      <c r="F355" s="5"/>
    </row>
    <row r="356" spans="6:6" x14ac:dyDescent="0.25">
      <c r="F356" s="5"/>
    </row>
    <row r="357" spans="6:6" x14ac:dyDescent="0.25">
      <c r="F357" s="5"/>
    </row>
    <row r="358" spans="6:6" x14ac:dyDescent="0.25">
      <c r="F358" s="5"/>
    </row>
    <row r="359" spans="6:6" x14ac:dyDescent="0.25">
      <c r="F359" s="5"/>
    </row>
    <row r="360" spans="6:6" x14ac:dyDescent="0.25">
      <c r="F360" s="5"/>
    </row>
    <row r="361" spans="6:6" x14ac:dyDescent="0.25">
      <c r="F361" s="5"/>
    </row>
    <row r="362" spans="6:6" x14ac:dyDescent="0.25">
      <c r="F362" s="5"/>
    </row>
    <row r="363" spans="6:6" x14ac:dyDescent="0.25">
      <c r="F363" s="5"/>
    </row>
    <row r="364" spans="6:6" x14ac:dyDescent="0.25">
      <c r="F364" s="5"/>
    </row>
    <row r="365" spans="6:6" x14ac:dyDescent="0.25">
      <c r="F365" s="5"/>
    </row>
    <row r="366" spans="6:6" x14ac:dyDescent="0.25">
      <c r="F366" s="5"/>
    </row>
    <row r="367" spans="6:6" x14ac:dyDescent="0.25">
      <c r="F367" s="5"/>
    </row>
    <row r="368" spans="6:6" x14ac:dyDescent="0.25">
      <c r="F368" s="5"/>
    </row>
    <row r="369" spans="6:6" x14ac:dyDescent="0.25">
      <c r="F369" s="5"/>
    </row>
    <row r="370" spans="6:6" x14ac:dyDescent="0.25">
      <c r="F370" s="5"/>
    </row>
    <row r="371" spans="6:6" x14ac:dyDescent="0.25">
      <c r="F371" s="5"/>
    </row>
    <row r="372" spans="6:6" x14ac:dyDescent="0.25">
      <c r="F372" s="5"/>
    </row>
    <row r="373" spans="6:6" x14ac:dyDescent="0.25">
      <c r="F373" s="5"/>
    </row>
    <row r="374" spans="6:6" x14ac:dyDescent="0.25">
      <c r="F374" s="5"/>
    </row>
    <row r="375" spans="6:6" x14ac:dyDescent="0.25">
      <c r="F375" s="5"/>
    </row>
    <row r="376" spans="6:6" x14ac:dyDescent="0.25">
      <c r="F376" s="5"/>
    </row>
    <row r="377" spans="6:6" x14ac:dyDescent="0.25">
      <c r="F377" s="5"/>
    </row>
    <row r="378" spans="6:6" x14ac:dyDescent="0.25">
      <c r="F378" s="5"/>
    </row>
    <row r="379" spans="6:6" x14ac:dyDescent="0.25">
      <c r="F379" s="5"/>
    </row>
    <row r="380" spans="6:6" x14ac:dyDescent="0.25">
      <c r="F380" s="5"/>
    </row>
    <row r="381" spans="6:6" x14ac:dyDescent="0.25">
      <c r="F381" s="5"/>
    </row>
    <row r="382" spans="6:6" x14ac:dyDescent="0.25">
      <c r="F382" s="5"/>
    </row>
    <row r="383" spans="6:6" x14ac:dyDescent="0.25">
      <c r="F383" s="5"/>
    </row>
    <row r="384" spans="6:6" x14ac:dyDescent="0.25">
      <c r="F384" s="5"/>
    </row>
    <row r="385" spans="6:6" x14ac:dyDescent="0.25">
      <c r="F385" s="5"/>
    </row>
    <row r="386" spans="6:6" x14ac:dyDescent="0.25">
      <c r="F386" s="5"/>
    </row>
    <row r="387" spans="6:6" x14ac:dyDescent="0.25">
      <c r="F387" s="5"/>
    </row>
    <row r="388" spans="6:6" x14ac:dyDescent="0.25">
      <c r="F388" s="5"/>
    </row>
    <row r="389" spans="6:6" x14ac:dyDescent="0.25">
      <c r="F389" s="5"/>
    </row>
    <row r="390" spans="6:6" x14ac:dyDescent="0.25">
      <c r="F390" s="5"/>
    </row>
    <row r="391" spans="6:6" x14ac:dyDescent="0.25">
      <c r="F391" s="5"/>
    </row>
    <row r="392" spans="6:6" x14ac:dyDescent="0.25">
      <c r="F392" s="5"/>
    </row>
    <row r="393" spans="6:6" x14ac:dyDescent="0.25">
      <c r="F393" s="5"/>
    </row>
    <row r="394" spans="6:6" x14ac:dyDescent="0.25">
      <c r="F394" s="5"/>
    </row>
    <row r="395" spans="6:6" x14ac:dyDescent="0.25">
      <c r="F395" s="5"/>
    </row>
    <row r="396" spans="6:6" x14ac:dyDescent="0.25">
      <c r="F396" s="5"/>
    </row>
    <row r="397" spans="6:6" x14ac:dyDescent="0.25">
      <c r="F397" s="5"/>
    </row>
    <row r="398" spans="6:6" x14ac:dyDescent="0.25">
      <c r="F398" s="5"/>
    </row>
    <row r="399" spans="6:6" x14ac:dyDescent="0.25">
      <c r="F399" s="5"/>
    </row>
    <row r="400" spans="6:6" x14ac:dyDescent="0.25">
      <c r="F400" s="5"/>
    </row>
    <row r="401" spans="6:6" x14ac:dyDescent="0.25">
      <c r="F401" s="5"/>
    </row>
    <row r="402" spans="6:6" x14ac:dyDescent="0.25">
      <c r="F402" s="5"/>
    </row>
    <row r="403" spans="6:6" x14ac:dyDescent="0.25">
      <c r="F403" s="5"/>
    </row>
    <row r="404" spans="6:6" x14ac:dyDescent="0.25">
      <c r="F404" s="5"/>
    </row>
    <row r="405" spans="6:6" x14ac:dyDescent="0.25">
      <c r="F405" s="5"/>
    </row>
    <row r="406" spans="6:6" x14ac:dyDescent="0.25">
      <c r="F406" s="5"/>
    </row>
    <row r="407" spans="6:6" x14ac:dyDescent="0.25">
      <c r="F407" s="5"/>
    </row>
    <row r="408" spans="6:6" x14ac:dyDescent="0.25">
      <c r="F408" s="5"/>
    </row>
    <row r="409" spans="6:6" x14ac:dyDescent="0.25">
      <c r="F409" s="5"/>
    </row>
    <row r="410" spans="6:6" x14ac:dyDescent="0.25">
      <c r="F410" s="5"/>
    </row>
    <row r="411" spans="6:6" x14ac:dyDescent="0.25">
      <c r="F411" s="5"/>
    </row>
    <row r="412" spans="6:6" x14ac:dyDescent="0.25">
      <c r="F412" s="5"/>
    </row>
    <row r="413" spans="6:6" x14ac:dyDescent="0.25">
      <c r="F413" s="5"/>
    </row>
    <row r="414" spans="6:6" x14ac:dyDescent="0.25">
      <c r="F414" s="5"/>
    </row>
    <row r="415" spans="6:6" x14ac:dyDescent="0.25">
      <c r="F415" s="5"/>
    </row>
    <row r="416" spans="6:6" x14ac:dyDescent="0.25">
      <c r="F416" s="5"/>
    </row>
    <row r="417" spans="6:6" x14ac:dyDescent="0.25">
      <c r="F417" s="5"/>
    </row>
    <row r="418" spans="6:6" x14ac:dyDescent="0.25">
      <c r="F418" s="5"/>
    </row>
    <row r="419" spans="6:6" x14ac:dyDescent="0.25">
      <c r="F419" s="5"/>
    </row>
    <row r="420" spans="6:6" x14ac:dyDescent="0.25">
      <c r="F420" s="5"/>
    </row>
    <row r="421" spans="6:6" x14ac:dyDescent="0.25">
      <c r="F421" s="5"/>
    </row>
    <row r="422" spans="6:6" x14ac:dyDescent="0.25">
      <c r="F422" s="5"/>
    </row>
    <row r="423" spans="6:6" x14ac:dyDescent="0.25">
      <c r="F423" s="5"/>
    </row>
    <row r="424" spans="6:6" x14ac:dyDescent="0.25">
      <c r="F424" s="5"/>
    </row>
    <row r="425" spans="6:6" x14ac:dyDescent="0.25">
      <c r="F425" s="5"/>
    </row>
    <row r="426" spans="6:6" x14ac:dyDescent="0.25">
      <c r="F426" s="5"/>
    </row>
    <row r="427" spans="6:6" x14ac:dyDescent="0.25">
      <c r="F427" s="5"/>
    </row>
    <row r="428" spans="6:6" x14ac:dyDescent="0.25">
      <c r="F428" s="5"/>
    </row>
    <row r="429" spans="6:6" x14ac:dyDescent="0.25">
      <c r="F429" s="5"/>
    </row>
    <row r="430" spans="6:6" x14ac:dyDescent="0.25">
      <c r="F430" s="5"/>
    </row>
    <row r="431" spans="6:6" x14ac:dyDescent="0.25">
      <c r="F431" s="5"/>
    </row>
    <row r="432" spans="6:6" x14ac:dyDescent="0.25">
      <c r="F432" s="5"/>
    </row>
    <row r="433" spans="6:6" x14ac:dyDescent="0.25">
      <c r="F433" s="5"/>
    </row>
    <row r="434" spans="6:6" x14ac:dyDescent="0.25">
      <c r="F434" s="5"/>
    </row>
    <row r="435" spans="6:6" x14ac:dyDescent="0.25">
      <c r="F435" s="5"/>
    </row>
    <row r="436" spans="6:6" x14ac:dyDescent="0.25">
      <c r="F436" s="5"/>
    </row>
    <row r="437" spans="6:6" x14ac:dyDescent="0.25">
      <c r="F437" s="5"/>
    </row>
    <row r="438" spans="6:6" x14ac:dyDescent="0.25">
      <c r="F438" s="5"/>
    </row>
    <row r="439" spans="6:6" x14ac:dyDescent="0.25">
      <c r="F439" s="5"/>
    </row>
    <row r="440" spans="6:6" x14ac:dyDescent="0.25">
      <c r="F440" s="5"/>
    </row>
    <row r="441" spans="6:6" x14ac:dyDescent="0.25">
      <c r="F441" s="5"/>
    </row>
    <row r="442" spans="6:6" x14ac:dyDescent="0.25">
      <c r="F442" s="5"/>
    </row>
    <row r="443" spans="6:6" x14ac:dyDescent="0.25">
      <c r="F443" s="5"/>
    </row>
    <row r="444" spans="6:6" x14ac:dyDescent="0.25">
      <c r="F444" s="5"/>
    </row>
    <row r="445" spans="6:6" x14ac:dyDescent="0.25">
      <c r="F445" s="5"/>
    </row>
    <row r="446" spans="6:6" x14ac:dyDescent="0.25">
      <c r="F446" s="5"/>
    </row>
    <row r="447" spans="6:6" x14ac:dyDescent="0.25">
      <c r="F447" s="5"/>
    </row>
    <row r="448" spans="6:6" x14ac:dyDescent="0.25">
      <c r="F448" s="5"/>
    </row>
    <row r="449" spans="6:6" x14ac:dyDescent="0.25">
      <c r="F449" s="5"/>
    </row>
    <row r="450" spans="6:6" x14ac:dyDescent="0.25">
      <c r="F450" s="5"/>
    </row>
    <row r="451" spans="6:6" x14ac:dyDescent="0.25">
      <c r="F451" s="5"/>
    </row>
    <row r="452" spans="6:6" x14ac:dyDescent="0.25">
      <c r="F452" s="5"/>
    </row>
    <row r="453" spans="6:6" x14ac:dyDescent="0.25">
      <c r="F453" s="5"/>
    </row>
    <row r="454" spans="6:6" x14ac:dyDescent="0.25">
      <c r="F454" s="5"/>
    </row>
    <row r="455" spans="6:6" x14ac:dyDescent="0.25">
      <c r="F455" s="5"/>
    </row>
    <row r="456" spans="6:6" x14ac:dyDescent="0.25">
      <c r="F456" s="5"/>
    </row>
    <row r="457" spans="6:6" x14ac:dyDescent="0.25">
      <c r="F457" s="5"/>
    </row>
    <row r="458" spans="6:6" x14ac:dyDescent="0.25">
      <c r="F458" s="5"/>
    </row>
    <row r="459" spans="6:6" x14ac:dyDescent="0.25">
      <c r="F459" s="5"/>
    </row>
    <row r="460" spans="6:6" x14ac:dyDescent="0.25">
      <c r="F460" s="5"/>
    </row>
    <row r="461" spans="6:6" x14ac:dyDescent="0.25">
      <c r="F461" s="5"/>
    </row>
    <row r="462" spans="6:6" x14ac:dyDescent="0.25">
      <c r="F462" s="5"/>
    </row>
    <row r="463" spans="6:6" x14ac:dyDescent="0.25">
      <c r="F463" s="5"/>
    </row>
    <row r="464" spans="6:6" x14ac:dyDescent="0.25">
      <c r="F464" s="5"/>
    </row>
    <row r="465" spans="6:6" x14ac:dyDescent="0.25">
      <c r="F465" s="5"/>
    </row>
    <row r="466" spans="6:6" x14ac:dyDescent="0.25">
      <c r="F466" s="5"/>
    </row>
    <row r="467" spans="6:6" x14ac:dyDescent="0.25">
      <c r="F467" s="5"/>
    </row>
    <row r="468" spans="6:6" x14ac:dyDescent="0.25">
      <c r="F468" s="5"/>
    </row>
    <row r="469" spans="6:6" x14ac:dyDescent="0.25">
      <c r="F469" s="5"/>
    </row>
    <row r="470" spans="6:6" x14ac:dyDescent="0.25">
      <c r="F470" s="5"/>
    </row>
    <row r="471" spans="6:6" x14ac:dyDescent="0.25">
      <c r="F471" s="5"/>
    </row>
    <row r="472" spans="6:6" x14ac:dyDescent="0.25">
      <c r="F472" s="5"/>
    </row>
    <row r="473" spans="6:6" x14ac:dyDescent="0.25">
      <c r="F473" s="5"/>
    </row>
    <row r="474" spans="6:6" x14ac:dyDescent="0.25">
      <c r="F474" s="5"/>
    </row>
    <row r="475" spans="6:6" x14ac:dyDescent="0.25">
      <c r="F475" s="5"/>
    </row>
    <row r="476" spans="6:6" x14ac:dyDescent="0.25">
      <c r="F476" s="5"/>
    </row>
    <row r="477" spans="6:6" x14ac:dyDescent="0.25">
      <c r="F477" s="5"/>
    </row>
    <row r="478" spans="6:6" x14ac:dyDescent="0.25">
      <c r="F478" s="5"/>
    </row>
    <row r="479" spans="6:6" x14ac:dyDescent="0.25">
      <c r="F479" s="5"/>
    </row>
    <row r="480" spans="6:6" x14ac:dyDescent="0.25">
      <c r="F480" s="5"/>
    </row>
    <row r="481" spans="6:6" x14ac:dyDescent="0.25">
      <c r="F481" s="5"/>
    </row>
    <row r="482" spans="6:6" x14ac:dyDescent="0.25">
      <c r="F482" s="5"/>
    </row>
    <row r="483" spans="6:6" x14ac:dyDescent="0.25">
      <c r="F483" s="5"/>
    </row>
    <row r="484" spans="6:6" x14ac:dyDescent="0.25">
      <c r="F484" s="5"/>
    </row>
    <row r="485" spans="6:6" x14ac:dyDescent="0.25">
      <c r="F485" s="5"/>
    </row>
    <row r="486" spans="6:6" x14ac:dyDescent="0.25">
      <c r="F486" s="5"/>
    </row>
    <row r="487" spans="6:6" x14ac:dyDescent="0.25">
      <c r="F487" s="5"/>
    </row>
    <row r="488" spans="6:6" x14ac:dyDescent="0.25">
      <c r="F488" s="5"/>
    </row>
    <row r="489" spans="6:6" x14ac:dyDescent="0.25">
      <c r="F489" s="5"/>
    </row>
    <row r="490" spans="6:6" x14ac:dyDescent="0.25">
      <c r="F490" s="5"/>
    </row>
    <row r="491" spans="6:6" x14ac:dyDescent="0.25">
      <c r="F491" s="5"/>
    </row>
    <row r="492" spans="6:6" x14ac:dyDescent="0.25">
      <c r="F492" s="5"/>
    </row>
    <row r="493" spans="6:6" x14ac:dyDescent="0.25">
      <c r="F493" s="5"/>
    </row>
    <row r="494" spans="6:6" x14ac:dyDescent="0.25">
      <c r="F494" s="5"/>
    </row>
    <row r="495" spans="6:6" x14ac:dyDescent="0.25">
      <c r="F495" s="5"/>
    </row>
    <row r="496" spans="6:6" x14ac:dyDescent="0.25">
      <c r="F496" s="5"/>
    </row>
    <row r="497" spans="6:6" x14ac:dyDescent="0.25">
      <c r="F497" s="5"/>
    </row>
    <row r="498" spans="6:6" x14ac:dyDescent="0.25">
      <c r="F498" s="5"/>
    </row>
    <row r="499" spans="6:6" x14ac:dyDescent="0.25">
      <c r="F499" s="5"/>
    </row>
    <row r="500" spans="6:6" x14ac:dyDescent="0.25">
      <c r="F500" s="5"/>
    </row>
    <row r="501" spans="6:6" x14ac:dyDescent="0.25">
      <c r="F501" s="5"/>
    </row>
    <row r="502" spans="6:6" x14ac:dyDescent="0.25">
      <c r="F502" s="5"/>
    </row>
    <row r="503" spans="6:6" x14ac:dyDescent="0.25">
      <c r="F503" s="5"/>
    </row>
    <row r="504" spans="6:6" x14ac:dyDescent="0.25">
      <c r="F504" s="5"/>
    </row>
    <row r="505" spans="6:6" x14ac:dyDescent="0.25">
      <c r="F505" s="5"/>
    </row>
    <row r="506" spans="6:6" x14ac:dyDescent="0.25">
      <c r="F506" s="5"/>
    </row>
    <row r="507" spans="6:6" x14ac:dyDescent="0.25">
      <c r="F507" s="5"/>
    </row>
    <row r="508" spans="6:6" x14ac:dyDescent="0.25">
      <c r="F508" s="5"/>
    </row>
    <row r="509" spans="6:6" x14ac:dyDescent="0.25">
      <c r="F509" s="5"/>
    </row>
    <row r="510" spans="6:6" x14ac:dyDescent="0.25">
      <c r="F510" s="5"/>
    </row>
    <row r="511" spans="6:6" x14ac:dyDescent="0.25">
      <c r="F511" s="5"/>
    </row>
    <row r="512" spans="6:6" x14ac:dyDescent="0.25">
      <c r="F512" s="5"/>
    </row>
    <row r="513" spans="6:6" x14ac:dyDescent="0.25">
      <c r="F513" s="5"/>
    </row>
    <row r="514" spans="6:6" x14ac:dyDescent="0.25">
      <c r="F514" s="5"/>
    </row>
    <row r="515" spans="6:6" x14ac:dyDescent="0.25">
      <c r="F515" s="5"/>
    </row>
    <row r="516" spans="6:6" x14ac:dyDescent="0.25">
      <c r="F516" s="5"/>
    </row>
    <row r="517" spans="6:6" x14ac:dyDescent="0.25">
      <c r="F517" s="5"/>
    </row>
    <row r="518" spans="6:6" x14ac:dyDescent="0.25">
      <c r="F518" s="5"/>
    </row>
    <row r="519" spans="6:6" x14ac:dyDescent="0.25">
      <c r="F519" s="5"/>
    </row>
    <row r="520" spans="6:6" x14ac:dyDescent="0.25">
      <c r="F520" s="5"/>
    </row>
    <row r="521" spans="6:6" x14ac:dyDescent="0.25">
      <c r="F521" s="5"/>
    </row>
    <row r="522" spans="6:6" x14ac:dyDescent="0.25">
      <c r="F522" s="5"/>
    </row>
    <row r="523" spans="6:6" x14ac:dyDescent="0.25">
      <c r="F523" s="5"/>
    </row>
    <row r="524" spans="6:6" x14ac:dyDescent="0.25">
      <c r="F524" s="5"/>
    </row>
    <row r="525" spans="6:6" x14ac:dyDescent="0.25">
      <c r="F525" s="5"/>
    </row>
    <row r="526" spans="6:6" x14ac:dyDescent="0.25">
      <c r="F526" s="5"/>
    </row>
    <row r="527" spans="6:6" x14ac:dyDescent="0.25">
      <c r="F527" s="5"/>
    </row>
    <row r="528" spans="6:6" x14ac:dyDescent="0.25">
      <c r="F528" s="5"/>
    </row>
    <row r="529" spans="6:6" x14ac:dyDescent="0.25">
      <c r="F529" s="5"/>
    </row>
    <row r="530" spans="6:6" x14ac:dyDescent="0.25">
      <c r="F530" s="5"/>
    </row>
    <row r="531" spans="6:6" x14ac:dyDescent="0.25">
      <c r="F531" s="5"/>
    </row>
    <row r="532" spans="6:6" x14ac:dyDescent="0.25">
      <c r="F532" s="5"/>
    </row>
    <row r="533" spans="6:6" x14ac:dyDescent="0.25">
      <c r="F533" s="5"/>
    </row>
    <row r="534" spans="6:6" x14ac:dyDescent="0.25">
      <c r="F534" s="5"/>
    </row>
    <row r="535" spans="6:6" x14ac:dyDescent="0.25">
      <c r="F535" s="5"/>
    </row>
    <row r="536" spans="6:6" x14ac:dyDescent="0.25">
      <c r="F536" s="5"/>
    </row>
    <row r="537" spans="6:6" x14ac:dyDescent="0.25">
      <c r="F537" s="5"/>
    </row>
    <row r="538" spans="6:6" x14ac:dyDescent="0.25">
      <c r="F538" s="5"/>
    </row>
    <row r="539" spans="6:6" x14ac:dyDescent="0.25">
      <c r="F539" s="5"/>
    </row>
    <row r="540" spans="6:6" x14ac:dyDescent="0.25">
      <c r="F540" s="5"/>
    </row>
    <row r="541" spans="6:6" x14ac:dyDescent="0.25">
      <c r="F541" s="5"/>
    </row>
    <row r="542" spans="6:6" x14ac:dyDescent="0.25">
      <c r="F542" s="5"/>
    </row>
    <row r="543" spans="6:6" x14ac:dyDescent="0.25">
      <c r="F543" s="5"/>
    </row>
  </sheetData>
  <mergeCells count="1">
    <mergeCell ref="B1:G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Inicio</vt:lpstr>
      <vt:lpstr>Lineales</vt:lpstr>
      <vt:lpstr>No lineales</vt:lpstr>
      <vt:lpstr>Sensibilidad</vt:lpstr>
      <vt:lpstr>Fusiones</vt:lpstr>
      <vt:lpstr>Cournot</vt:lpstr>
      <vt:lpstr>Bertand</vt:lpstr>
      <vt:lpstr>Efectos</vt:lpstr>
      <vt:lpstr>Discriminacion</vt:lpstr>
      <vt:lpstr>Riesgo</vt:lpstr>
      <vt:lpstr>Multiproducto</vt:lpstr>
      <vt:lpstr>Diferenciacion</vt:lpstr>
      <vt:lpstr>Horizontal</vt:lpstr>
      <vt:lpstr>Vertical</vt:lpstr>
      <vt:lpstr>Plataformas</vt:lpstr>
      <vt:lpstr>Innovacion</vt:lpstr>
      <vt:lpstr>Rel. Vert.</vt:lpstr>
      <vt:lpstr>Franquicia</vt:lpstr>
      <vt:lpstr>Integracion</vt:lpstr>
      <vt:lpstr>Exclusividad</vt:lpstr>
      <vt:lpstr>Subastas</vt:lpstr>
      <vt:lpstr>Colusion</vt:lpstr>
      <vt:lpstr>Barreras</vt:lpstr>
      <vt:lpstr>Limites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2025-11-23T16:20:45Z</dcterms:created>
  <dcterms:modified xsi:type="dcterms:W3CDTF">2025-12-27T18:12:57Z</dcterms:modified>
</cp:coreProperties>
</file>